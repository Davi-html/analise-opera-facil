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OBSERVATORIO\PROJETOS\BI e Afins\Opera facil\"/>
    </mc:Choice>
  </mc:AlternateContent>
  <xr:revisionPtr revIDLastSave="0" documentId="13_ncr:1_{FCAAF436-E5D0-42FA-A1F0-93188B0CAFD9}" xr6:coauthVersionLast="47" xr6:coauthVersionMax="47" xr10:uidLastSave="{00000000-0000-0000-0000-000000000000}"/>
  <bookViews>
    <workbookView xWindow="20370" yWindow="-120" windowWidth="20730" windowHeight="11040" tabRatio="505" firstSheet="1" activeTab="1" xr2:uid="{65F67A74-8D87-41ED-B4AD-70C3B825DB80}"/>
  </bookViews>
  <sheets>
    <sheet name="COMPETENCIAS )" sheetId="13" r:id="rId1"/>
    <sheet name="COMPETENCIA DEZ A JAN 25" sheetId="20" r:id="rId2"/>
    <sheet name="COMPETENCIA NOV A DEZ 25" sheetId="19" r:id="rId3"/>
    <sheet name="COMPETENCIA  OUT A NOV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" i="13" l="1"/>
  <c r="W4" i="19"/>
  <c r="S15" i="6"/>
  <c r="S14" i="6"/>
  <c r="S13" i="6"/>
  <c r="S12" i="6"/>
  <c r="S11" i="6"/>
  <c r="S10" i="6"/>
  <c r="S9" i="6"/>
  <c r="S7" i="6"/>
  <c r="S6" i="6"/>
  <c r="S5" i="6"/>
  <c r="T5" i="6"/>
  <c r="T6" i="6"/>
  <c r="T7" i="6"/>
  <c r="T9" i="6"/>
  <c r="T10" i="6"/>
  <c r="T11" i="6"/>
  <c r="T12" i="6"/>
  <c r="T13" i="6"/>
  <c r="T14" i="6"/>
  <c r="T15" i="6"/>
  <c r="V5" i="6"/>
  <c r="V6" i="6"/>
  <c r="V7" i="6"/>
  <c r="V9" i="6"/>
  <c r="V10" i="6"/>
  <c r="V11" i="6"/>
  <c r="V12" i="6"/>
  <c r="V13" i="6"/>
  <c r="V14" i="6"/>
  <c r="V15" i="6"/>
  <c r="I16" i="6"/>
  <c r="G16" i="6"/>
  <c r="U8" i="6"/>
  <c r="K7" i="13" s="1"/>
  <c r="K4" i="13"/>
  <c r="K5" i="13"/>
  <c r="K6" i="13"/>
  <c r="K8" i="13"/>
  <c r="K9" i="13"/>
  <c r="K10" i="13"/>
  <c r="K11" i="13"/>
  <c r="K12" i="13"/>
  <c r="K13" i="13"/>
  <c r="K14" i="13"/>
  <c r="K3" i="13"/>
  <c r="H4" i="13"/>
  <c r="H6" i="13"/>
  <c r="H7" i="13"/>
  <c r="H9" i="13"/>
  <c r="H10" i="13"/>
  <c r="H11" i="13"/>
  <c r="H12" i="13"/>
  <c r="H13" i="13"/>
  <c r="H14" i="13"/>
  <c r="H3" i="13"/>
  <c r="G4" i="13"/>
  <c r="G5" i="13"/>
  <c r="G6" i="13"/>
  <c r="G7" i="13"/>
  <c r="G8" i="13"/>
  <c r="G9" i="13"/>
  <c r="G10" i="13"/>
  <c r="G11" i="13"/>
  <c r="G12" i="13"/>
  <c r="G13" i="13"/>
  <c r="G14" i="13"/>
  <c r="G15" i="13"/>
  <c r="G3" i="13"/>
  <c r="F4" i="13"/>
  <c r="F5" i="13"/>
  <c r="F6" i="13"/>
  <c r="F7" i="13"/>
  <c r="F8" i="13"/>
  <c r="F9" i="13"/>
  <c r="F10" i="13"/>
  <c r="F11" i="13"/>
  <c r="F12" i="13"/>
  <c r="F13" i="13"/>
  <c r="F14" i="13"/>
  <c r="F3" i="13"/>
  <c r="E4" i="13"/>
  <c r="E5" i="13"/>
  <c r="E6" i="13"/>
  <c r="E7" i="13"/>
  <c r="E8" i="13"/>
  <c r="E9" i="13"/>
  <c r="E10" i="13"/>
  <c r="E11" i="13"/>
  <c r="E12" i="13"/>
  <c r="E13" i="13"/>
  <c r="E14" i="13"/>
  <c r="E3" i="13"/>
  <c r="D4" i="13"/>
  <c r="D5" i="13"/>
  <c r="D6" i="13"/>
  <c r="D8" i="13"/>
  <c r="D9" i="13"/>
  <c r="D10" i="13"/>
  <c r="D11" i="13"/>
  <c r="D12" i="13"/>
  <c r="D13" i="13"/>
  <c r="D14" i="13"/>
  <c r="D3" i="13"/>
  <c r="C4" i="13"/>
  <c r="C5" i="13"/>
  <c r="C6" i="13"/>
  <c r="C7" i="13"/>
  <c r="C8" i="13"/>
  <c r="C9" i="13"/>
  <c r="C10" i="13"/>
  <c r="C11" i="13"/>
  <c r="C12" i="13"/>
  <c r="C13" i="13"/>
  <c r="C14" i="13"/>
  <c r="C3" i="13"/>
  <c r="B4" i="13"/>
  <c r="B5" i="13"/>
  <c r="B6" i="13"/>
  <c r="B7" i="13"/>
  <c r="B8" i="13"/>
  <c r="B9" i="13"/>
  <c r="B10" i="13"/>
  <c r="B11" i="13"/>
  <c r="B12" i="13"/>
  <c r="B13" i="13"/>
  <c r="B14" i="13"/>
  <c r="B3" i="13"/>
  <c r="U5" i="19"/>
  <c r="U4" i="19"/>
  <c r="U10" i="19"/>
  <c r="S8" i="19"/>
  <c r="Y16" i="19"/>
  <c r="U14" i="19"/>
  <c r="U11" i="19"/>
  <c r="U15" i="19"/>
  <c r="U13" i="19"/>
  <c r="H5" i="13" l="1"/>
  <c r="D7" i="13"/>
  <c r="S8" i="6"/>
  <c r="T8" i="6" s="1"/>
  <c r="V8" i="6" s="1"/>
  <c r="E15" i="13"/>
  <c r="U16" i="19"/>
  <c r="B5" i="6" l="1"/>
  <c r="C16" i="19" l="1"/>
  <c r="D16" i="19"/>
  <c r="E16" i="19"/>
  <c r="B16" i="19"/>
  <c r="O16" i="19"/>
  <c r="N16" i="19"/>
  <c r="M16" i="19"/>
  <c r="F15" i="13" s="1"/>
  <c r="L16" i="19"/>
  <c r="I16" i="19"/>
  <c r="H16" i="19"/>
  <c r="G16" i="19"/>
  <c r="D15" i="13" s="1"/>
  <c r="F16" i="19"/>
  <c r="S15" i="19"/>
  <c r="R15" i="19"/>
  <c r="Q15" i="19"/>
  <c r="P15" i="19"/>
  <c r="S14" i="19"/>
  <c r="R14" i="19"/>
  <c r="Q14" i="19"/>
  <c r="P14" i="19"/>
  <c r="S13" i="19"/>
  <c r="R13" i="19"/>
  <c r="Q13" i="19"/>
  <c r="P13" i="19"/>
  <c r="S12" i="19"/>
  <c r="R12" i="19"/>
  <c r="Q12" i="19"/>
  <c r="P12" i="19"/>
  <c r="S11" i="19"/>
  <c r="R11" i="19"/>
  <c r="Q11" i="19"/>
  <c r="P11" i="19"/>
  <c r="S10" i="19"/>
  <c r="R10" i="19"/>
  <c r="Q10" i="19"/>
  <c r="T10" i="19" s="1"/>
  <c r="P10" i="19"/>
  <c r="S9" i="19"/>
  <c r="R9" i="19"/>
  <c r="Q9" i="19"/>
  <c r="P9" i="19"/>
  <c r="R8" i="19"/>
  <c r="Q8" i="19"/>
  <c r="P8" i="19"/>
  <c r="S7" i="19"/>
  <c r="R7" i="19"/>
  <c r="Q7" i="19"/>
  <c r="P7" i="19"/>
  <c r="S6" i="19"/>
  <c r="R6" i="19"/>
  <c r="Q6" i="19"/>
  <c r="P6" i="19"/>
  <c r="S5" i="19"/>
  <c r="R5" i="19"/>
  <c r="Q5" i="19"/>
  <c r="P5" i="19"/>
  <c r="S4" i="19"/>
  <c r="R4" i="19"/>
  <c r="Q4" i="19"/>
  <c r="P4" i="19"/>
  <c r="T14" i="19" l="1"/>
  <c r="T6" i="19"/>
  <c r="T5" i="19"/>
  <c r="T9" i="19"/>
  <c r="T15" i="19"/>
  <c r="T8" i="19"/>
  <c r="T13" i="19"/>
  <c r="T11" i="19"/>
  <c r="T7" i="19"/>
  <c r="T12" i="19"/>
  <c r="S16" i="19"/>
  <c r="R16" i="19"/>
  <c r="Q16" i="19"/>
  <c r="T4" i="19"/>
  <c r="P16" i="19"/>
  <c r="U9" i="6"/>
  <c r="U14" i="6"/>
  <c r="U4" i="6"/>
  <c r="O16" i="6"/>
  <c r="F16" i="6"/>
  <c r="H16" i="6"/>
  <c r="L16" i="6"/>
  <c r="M16" i="6"/>
  <c r="N16" i="6"/>
  <c r="U13" i="6"/>
  <c r="U12" i="6"/>
  <c r="U11" i="6"/>
  <c r="W16" i="6"/>
  <c r="E16" i="6"/>
  <c r="C15" i="13" s="1"/>
  <c r="C16" i="6"/>
  <c r="B15" i="13" s="1"/>
  <c r="B16" i="6"/>
  <c r="I14" i="13"/>
  <c r="R15" i="6"/>
  <c r="Q15" i="6"/>
  <c r="I13" i="13"/>
  <c r="R14" i="6"/>
  <c r="Q14" i="6"/>
  <c r="I12" i="13"/>
  <c r="R13" i="6"/>
  <c r="Q13" i="6"/>
  <c r="D13" i="6"/>
  <c r="I11" i="13"/>
  <c r="R12" i="6"/>
  <c r="Q12" i="6"/>
  <c r="D12" i="6"/>
  <c r="I10" i="13"/>
  <c r="R11" i="6"/>
  <c r="Q11" i="6"/>
  <c r="D11" i="6"/>
  <c r="I9" i="13"/>
  <c r="R10" i="6"/>
  <c r="Q10" i="6"/>
  <c r="D10" i="6"/>
  <c r="I8" i="13"/>
  <c r="R9" i="6"/>
  <c r="Q9" i="6"/>
  <c r="H8" i="13" s="1"/>
  <c r="I7" i="13"/>
  <c r="R8" i="6"/>
  <c r="Q8" i="6"/>
  <c r="D8" i="6"/>
  <c r="I6" i="13"/>
  <c r="R7" i="6"/>
  <c r="Q7" i="6"/>
  <c r="D7" i="6"/>
  <c r="I5" i="13"/>
  <c r="R6" i="6"/>
  <c r="Q6" i="6"/>
  <c r="P6" i="6"/>
  <c r="U5" i="6"/>
  <c r="I4" i="13"/>
  <c r="R5" i="6"/>
  <c r="Q5" i="6"/>
  <c r="D5" i="6"/>
  <c r="S4" i="6"/>
  <c r="I3" i="13" s="1"/>
  <c r="R4" i="6"/>
  <c r="Q4" i="6"/>
  <c r="P4" i="6"/>
  <c r="X7" i="19" l="1"/>
  <c r="T16" i="19"/>
  <c r="J4" i="13"/>
  <c r="L4" i="13" s="1"/>
  <c r="Q16" i="6"/>
  <c r="H15" i="13" s="1"/>
  <c r="B17" i="13" s="1"/>
  <c r="T4" i="6"/>
  <c r="P7" i="6"/>
  <c r="P5" i="6"/>
  <c r="J9" i="13"/>
  <c r="J14" i="13"/>
  <c r="J6" i="13"/>
  <c r="J8" i="13"/>
  <c r="J7" i="13"/>
  <c r="S16" i="6"/>
  <c r="I15" i="13" s="1"/>
  <c r="B18" i="13" s="1"/>
  <c r="J5" i="13"/>
  <c r="J10" i="13"/>
  <c r="L10" i="13" s="1"/>
  <c r="J11" i="13"/>
  <c r="L11" i="13" s="1"/>
  <c r="U16" i="6"/>
  <c r="K15" i="13" s="1"/>
  <c r="J13" i="13"/>
  <c r="L13" i="13" s="1"/>
  <c r="R16" i="6"/>
  <c r="D16" i="6"/>
  <c r="B19" i="13" l="1"/>
  <c r="C17" i="13" s="1"/>
  <c r="V4" i="6"/>
  <c r="V4" i="19" s="1"/>
  <c r="X4" i="19" s="1"/>
  <c r="J3" i="13"/>
  <c r="L3" i="13" s="1"/>
  <c r="J12" i="13"/>
  <c r="L12" i="13" s="1"/>
  <c r="L7" i="13"/>
  <c r="L8" i="13"/>
  <c r="V12" i="19"/>
  <c r="W12" i="19" s="1"/>
  <c r="X12" i="19" s="1"/>
  <c r="L6" i="13"/>
  <c r="L14" i="13"/>
  <c r="V5" i="19"/>
  <c r="W5" i="19" s="1"/>
  <c r="X5" i="19" s="1"/>
  <c r="V10" i="19"/>
  <c r="W10" i="19" s="1"/>
  <c r="X10" i="19" s="1"/>
  <c r="L9" i="13"/>
  <c r="V8" i="19"/>
  <c r="W8" i="19" s="1"/>
  <c r="X8" i="19" s="1"/>
  <c r="L5" i="13"/>
  <c r="V11" i="19"/>
  <c r="P8" i="6"/>
  <c r="T16" i="6"/>
  <c r="J15" i="13" s="1"/>
  <c r="B22" i="13" s="1"/>
  <c r="B23" i="13" s="1"/>
  <c r="C18" i="13" l="1"/>
  <c r="C19" i="13" s="1"/>
  <c r="V15" i="19"/>
  <c r="W15" i="19" s="1"/>
  <c r="X15" i="19" s="1"/>
  <c r="W11" i="19"/>
  <c r="X11" i="19" s="1"/>
  <c r="V9" i="19"/>
  <c r="W9" i="19" s="1"/>
  <c r="X9" i="19" s="1"/>
  <c r="W7" i="19"/>
  <c r="V6" i="19"/>
  <c r="W6" i="19" s="1"/>
  <c r="X6" i="19" s="1"/>
  <c r="V14" i="19"/>
  <c r="W14" i="19" s="1"/>
  <c r="X14" i="19" s="1"/>
  <c r="V13" i="19"/>
  <c r="W13" i="19" s="1"/>
  <c r="X13" i="19" s="1"/>
  <c r="V16" i="6"/>
  <c r="P9" i="6"/>
  <c r="V16" i="19" l="1"/>
  <c r="W16" i="19" s="1"/>
  <c r="X16" i="19" s="1"/>
  <c r="P10" i="6"/>
  <c r="P11" i="6" l="1"/>
  <c r="P13" i="6"/>
  <c r="P14" i="6"/>
  <c r="P15" i="6" l="1"/>
  <c r="P12" i="6"/>
  <c r="P16" i="6" l="1"/>
  <c r="C39" i="13" l="1"/>
  <c r="C37" i="13"/>
  <c r="C36" i="13" l="1"/>
  <c r="C38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 Alves</author>
  </authors>
  <commentList>
    <comment ref="F5" authorId="0" shapeId="0" xr:uid="{646D24AD-F82C-4E61-ABD6-6C5A34749E8C}">
      <text>
        <r>
          <rPr>
            <b/>
            <sz val="9"/>
            <color indexed="81"/>
            <rFont val="Segoe UI"/>
            <family val="2"/>
          </rPr>
          <t>Davi Alves:</t>
        </r>
        <r>
          <rPr>
            <sz val="9"/>
            <color indexed="81"/>
            <rFont val="Segoe UI"/>
            <family val="2"/>
          </rPr>
          <t xml:space="preserve">
Algumas dessas crianças fizeram o pacote na comp passada.</t>
        </r>
      </text>
    </comment>
    <comment ref="F8" authorId="0" shapeId="0" xr:uid="{DC5DF32E-637A-4516-8BCA-A5A9A6C233EF}">
      <text>
        <r>
          <rPr>
            <b/>
            <sz val="9"/>
            <color indexed="81"/>
            <rFont val="Segoe UI"/>
            <family val="2"/>
          </rPr>
          <t>Davi Alves:</t>
        </r>
        <r>
          <rPr>
            <sz val="9"/>
            <color indexed="81"/>
            <rFont val="Segoe UI"/>
            <family val="2"/>
          </rPr>
          <t xml:space="preserve">
Algumas dessas crianças fizeram o pacote na comp passada.</t>
        </r>
      </text>
    </comment>
    <comment ref="F12" authorId="0" shapeId="0" xr:uid="{996C7EF6-2607-4C63-8928-0D76F9D131B5}">
      <text>
        <r>
          <rPr>
            <b/>
            <sz val="9"/>
            <color indexed="81"/>
            <rFont val="Segoe UI"/>
            <family val="2"/>
          </rPr>
          <t>Davi Alves:</t>
        </r>
        <r>
          <rPr>
            <sz val="9"/>
            <color indexed="81"/>
            <rFont val="Segoe UI"/>
            <family val="2"/>
          </rPr>
          <t xml:space="preserve">
Algumas dessas crianças fizeram o pacote na comp passada.</t>
        </r>
      </text>
    </comment>
    <comment ref="F14" authorId="0" shapeId="0" xr:uid="{164EDB7A-FC72-4817-BA95-165809A32E86}">
      <text>
        <r>
          <rPr>
            <b/>
            <sz val="9"/>
            <color indexed="81"/>
            <rFont val="Segoe UI"/>
            <family val="2"/>
          </rPr>
          <t>Davi Alves:</t>
        </r>
        <r>
          <rPr>
            <sz val="9"/>
            <color indexed="81"/>
            <rFont val="Segoe UI"/>
            <family val="2"/>
          </rPr>
          <t xml:space="preserve">
Algumas dessas crianças fizeram o pacote na comp passada.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 Alves</author>
  </authors>
  <commentList>
    <comment ref="F5" authorId="0" shapeId="0" xr:uid="{8E067125-877F-4BD0-B16A-9BF0B7D757EE}">
      <text>
        <r>
          <rPr>
            <b/>
            <sz val="9"/>
            <color indexed="81"/>
            <rFont val="Segoe UI"/>
            <family val="2"/>
          </rPr>
          <t>Davi Alves:</t>
        </r>
        <r>
          <rPr>
            <sz val="9"/>
            <color indexed="81"/>
            <rFont val="Segoe UI"/>
            <family val="2"/>
          </rPr>
          <t xml:space="preserve">
Algumas dessas crianças fizeram o pacote na comp passada.</t>
        </r>
      </text>
    </comment>
    <comment ref="F8" authorId="0" shapeId="0" xr:uid="{9A90ABD4-1CC8-4E09-A920-197FCFE26754}">
      <text>
        <r>
          <rPr>
            <b/>
            <sz val="9"/>
            <color indexed="81"/>
            <rFont val="Segoe UI"/>
            <family val="2"/>
          </rPr>
          <t>Davi Alves:</t>
        </r>
        <r>
          <rPr>
            <sz val="9"/>
            <color indexed="81"/>
            <rFont val="Segoe UI"/>
            <family val="2"/>
          </rPr>
          <t xml:space="preserve">
Algumas dessas crianças fizeram o pacote na comp passada.</t>
        </r>
      </text>
    </comment>
    <comment ref="F12" authorId="0" shapeId="0" xr:uid="{E3410F34-BAC0-4336-B776-43F041B77E5F}">
      <text>
        <r>
          <rPr>
            <b/>
            <sz val="9"/>
            <color indexed="81"/>
            <rFont val="Segoe UI"/>
            <family val="2"/>
          </rPr>
          <t>Davi Alves:</t>
        </r>
        <r>
          <rPr>
            <sz val="9"/>
            <color indexed="81"/>
            <rFont val="Segoe UI"/>
            <family val="2"/>
          </rPr>
          <t xml:space="preserve">
Algumas dessas crianças fizeram o pacote na comp passada.</t>
        </r>
      </text>
    </comment>
    <comment ref="F14" authorId="0" shapeId="0" xr:uid="{52C2828A-965A-41F8-B135-0AA61D320904}">
      <text>
        <r>
          <rPr>
            <b/>
            <sz val="9"/>
            <color indexed="81"/>
            <rFont val="Segoe UI"/>
            <family val="2"/>
          </rPr>
          <t>Davi Alves:</t>
        </r>
        <r>
          <rPr>
            <sz val="9"/>
            <color indexed="81"/>
            <rFont val="Segoe UI"/>
            <family val="2"/>
          </rPr>
          <t xml:space="preserve">
Algumas dessas crianças fizeram o pacote na comp passada.</t>
        </r>
      </text>
    </comment>
  </commentList>
</comments>
</file>

<file path=xl/sharedStrings.xml><?xml version="1.0" encoding="utf-8"?>
<sst xmlns="http://schemas.openxmlformats.org/spreadsheetml/2006/main" count="169" uniqueCount="44">
  <si>
    <t>BR</t>
  </si>
  <si>
    <t>DC</t>
  </si>
  <si>
    <t>IT</t>
  </si>
  <si>
    <t>JAP</t>
  </si>
  <si>
    <t>MG</t>
  </si>
  <si>
    <t>NIG</t>
  </si>
  <si>
    <t>MESQ</t>
  </si>
  <si>
    <t>QUEI</t>
  </si>
  <si>
    <t>SJM</t>
  </si>
  <si>
    <t>SERO</t>
  </si>
  <si>
    <t>Municipio</t>
  </si>
  <si>
    <t>NIL</t>
  </si>
  <si>
    <t>Neomater</t>
  </si>
  <si>
    <t>Neotin</t>
  </si>
  <si>
    <t>SegVision</t>
  </si>
  <si>
    <t>total</t>
  </si>
  <si>
    <t>Carga Destinada</t>
  </si>
  <si>
    <t>Prontobaby</t>
  </si>
  <si>
    <t>QTD</t>
  </si>
  <si>
    <t>VALOR</t>
  </si>
  <si>
    <t>Saldo Remanescente da Primeira Competencia</t>
  </si>
  <si>
    <t>CARGAS TOTAIS</t>
  </si>
  <si>
    <t>Consultas</t>
  </si>
  <si>
    <t>Segvision</t>
  </si>
  <si>
    <t>Centro Pediatrico</t>
  </si>
  <si>
    <t>PARAC</t>
  </si>
  <si>
    <t>Total</t>
  </si>
  <si>
    <t>VALOR CONSULTA</t>
  </si>
  <si>
    <t>QTD CONSULTA</t>
  </si>
  <si>
    <t>CIRURGIA</t>
  </si>
  <si>
    <t>TOTAL GERAL</t>
  </si>
  <si>
    <t>CONSULTA</t>
  </si>
  <si>
    <t>Saldo Remanescente no sistema</t>
  </si>
  <si>
    <t>Carga Destinada 2 competencia</t>
  </si>
  <si>
    <r>
      <rPr>
        <sz val="11"/>
        <rFont val="Calibri"/>
        <family val="2"/>
        <scheme val="minor"/>
      </rPr>
      <t>Validado</t>
    </r>
    <r>
      <rPr>
        <sz val="11"/>
        <color theme="1"/>
        <rFont val="Calibri"/>
        <family val="2"/>
        <scheme val="minor"/>
      </rPr>
      <t xml:space="preserve"> 20 outubro a 19 novembro 2025</t>
    </r>
  </si>
  <si>
    <t>Saldo em 01 dezembro 2025</t>
  </si>
  <si>
    <t>Validado (out/nov) e Realizado x Marcado 20 nov a 19 dez  2025 - (em 01 de dezembro)</t>
  </si>
  <si>
    <t>Cirurgia</t>
  </si>
  <si>
    <t>% Saldo Gasto + Provisionado</t>
  </si>
  <si>
    <t>Gasto</t>
  </si>
  <si>
    <t>Saldo</t>
  </si>
  <si>
    <t>total de saldo cumulativo</t>
  </si>
  <si>
    <t>Validado 20 Novembro a 14 Dezembro 2025</t>
  </si>
  <si>
    <t>Agendados e Realizados 15 Dezembro a 19 Janeiro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</si>
</sst>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0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D5FF"/>
        <bgColor indexed="64"/>
      </patternFill>
    </fill>
    <fill>
      <patternFill patternType="solid">
        <fgColor rgb="FFFFDBC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D1D1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DDEBF7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8" fillId="0" borderId="0" applyFont="0" applyFill="0" applyBorder="0" applyAlignment="0" applyProtection="0"/>
  </cellStyleXfs>
  <cellXfs count="122">
    <xf numFmtId="0" fontId="0" fillId="0" borderId="0" xfId="0"/>
    <xf numFmtId="4" fontId="0" fillId="0" borderId="0" xfId="0" applyNumberFormat="1"/>
    <xf numFmtId="4" fontId="0" fillId="0" borderId="1" xfId="0" applyNumberFormat="1" applyBorder="1"/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8" fontId="0" fillId="3" borderId="1" xfId="0" applyNumberFormat="1" applyFill="1" applyBorder="1"/>
    <xf numFmtId="0" fontId="0" fillId="5" borderId="1" xfId="0" applyFill="1" applyBorder="1" applyAlignment="1">
      <alignment horizontal="center"/>
    </xf>
    <xf numFmtId="8" fontId="0" fillId="5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8" fontId="0" fillId="7" borderId="1" xfId="0" applyNumberFormat="1" applyFill="1" applyBorder="1"/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8" fontId="2" fillId="6" borderId="1" xfId="0" applyNumberFormat="1" applyFont="1" applyFill="1" applyBorder="1" applyAlignment="1">
      <alignment horizontal="center"/>
    </xf>
    <xf numFmtId="164" fontId="2" fillId="5" borderId="1" xfId="0" applyNumberFormat="1" applyFont="1" applyFill="1" applyBorder="1" applyAlignment="1">
      <alignment horizontal="center"/>
    </xf>
    <xf numFmtId="8" fontId="0" fillId="6" borderId="1" xfId="0" applyNumberFormat="1" applyFill="1" applyBorder="1"/>
    <xf numFmtId="8" fontId="0" fillId="0" borderId="0" xfId="0" applyNumberFormat="1"/>
    <xf numFmtId="1" fontId="0" fillId="7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8" fontId="0" fillId="9" borderId="1" xfId="0" applyNumberFormat="1" applyFill="1" applyBorder="1"/>
    <xf numFmtId="164" fontId="0" fillId="9" borderId="1" xfId="0" applyNumberFormat="1" applyFill="1" applyBorder="1" applyAlignment="1">
      <alignment horizontal="center"/>
    </xf>
    <xf numFmtId="164" fontId="0" fillId="9" borderId="1" xfId="0" applyNumberFormat="1" applyFill="1" applyBorder="1"/>
    <xf numFmtId="1" fontId="2" fillId="7" borderId="1" xfId="0" applyNumberFormat="1" applyFont="1" applyFill="1" applyBorder="1" applyAlignment="1">
      <alignment horizontal="center"/>
    </xf>
    <xf numFmtId="164" fontId="2" fillId="9" borderId="1" xfId="0" applyNumberFormat="1" applyFont="1" applyFill="1" applyBorder="1"/>
    <xf numFmtId="0" fontId="2" fillId="8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8" fontId="0" fillId="7" borderId="1" xfId="0" applyNumberFormat="1" applyFill="1" applyBorder="1" applyAlignment="1">
      <alignment horizontal="right"/>
    </xf>
    <xf numFmtId="8" fontId="0" fillId="8" borderId="1" xfId="0" applyNumberFormat="1" applyFill="1" applyBorder="1" applyAlignment="1">
      <alignment horizontal="right"/>
    </xf>
    <xf numFmtId="164" fontId="0" fillId="8" borderId="1" xfId="0" applyNumberFormat="1" applyFill="1" applyBorder="1" applyAlignment="1">
      <alignment horizontal="right"/>
    </xf>
    <xf numFmtId="164" fontId="2" fillId="8" borderId="1" xfId="0" applyNumberFormat="1" applyFont="1" applyFill="1" applyBorder="1" applyAlignment="1">
      <alignment horizontal="right"/>
    </xf>
    <xf numFmtId="0" fontId="2" fillId="5" borderId="1" xfId="0" applyFont="1" applyFill="1" applyBorder="1" applyAlignment="1">
      <alignment horizontal="center" vertical="center" wrapText="1"/>
    </xf>
    <xf numFmtId="8" fontId="1" fillId="10" borderId="1" xfId="0" applyNumberFormat="1" applyFont="1" applyFill="1" applyBorder="1"/>
    <xf numFmtId="164" fontId="0" fillId="0" borderId="0" xfId="0" applyNumberFormat="1"/>
    <xf numFmtId="0" fontId="2" fillId="5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 wrapText="1"/>
    </xf>
    <xf numFmtId="164" fontId="2" fillId="11" borderId="1" xfId="0" applyNumberFormat="1" applyFont="1" applyFill="1" applyBorder="1"/>
    <xf numFmtId="1" fontId="0" fillId="0" borderId="0" xfId="0" applyNumberFormat="1"/>
    <xf numFmtId="0" fontId="0" fillId="8" borderId="1" xfId="0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164" fontId="0" fillId="5" borderId="1" xfId="0" applyNumberFormat="1" applyFill="1" applyBorder="1" applyAlignment="1">
      <alignment horizontal="right"/>
    </xf>
    <xf numFmtId="8" fontId="1" fillId="5" borderId="1" xfId="0" applyNumberFormat="1" applyFont="1" applyFill="1" applyBorder="1"/>
    <xf numFmtId="8" fontId="5" fillId="5" borderId="1" xfId="0" applyNumberFormat="1" applyFont="1" applyFill="1" applyBorder="1"/>
    <xf numFmtId="0" fontId="2" fillId="9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8" fontId="2" fillId="8" borderId="1" xfId="0" applyNumberFormat="1" applyFont="1" applyFill="1" applyBorder="1" applyAlignment="1">
      <alignment horizontal="right"/>
    </xf>
    <xf numFmtId="0" fontId="0" fillId="8" borderId="1" xfId="0" applyFill="1" applyBorder="1" applyAlignment="1">
      <alignment horizontal="center" wrapText="1"/>
    </xf>
    <xf numFmtId="1" fontId="0" fillId="5" borderId="1" xfId="0" applyNumberFormat="1" applyFill="1" applyBorder="1" applyAlignment="1">
      <alignment horizontal="center"/>
    </xf>
    <xf numFmtId="1" fontId="2" fillId="5" borderId="1" xfId="0" applyNumberFormat="1" applyFont="1" applyFill="1" applyBorder="1" applyAlignment="1">
      <alignment horizontal="center"/>
    </xf>
    <xf numFmtId="8" fontId="0" fillId="12" borderId="1" xfId="0" applyNumberFormat="1" applyFill="1" applyBorder="1" applyAlignment="1">
      <alignment horizontal="right"/>
    </xf>
    <xf numFmtId="164" fontId="2" fillId="12" borderId="1" xfId="0" applyNumberFormat="1" applyFont="1" applyFill="1" applyBorder="1" applyAlignment="1">
      <alignment horizontal="right"/>
    </xf>
    <xf numFmtId="0" fontId="2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 vertical="center"/>
    </xf>
    <xf numFmtId="8" fontId="0" fillId="13" borderId="1" xfId="0" applyNumberFormat="1" applyFill="1" applyBorder="1"/>
    <xf numFmtId="164" fontId="1" fillId="5" borderId="1" xfId="1" applyNumberFormat="1" applyFont="1" applyFill="1" applyBorder="1"/>
    <xf numFmtId="44" fontId="0" fillId="0" borderId="0" xfId="0" applyNumberFormat="1"/>
    <xf numFmtId="164" fontId="2" fillId="9" borderId="1" xfId="0" applyNumberFormat="1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 vertical="center" wrapText="1"/>
    </xf>
    <xf numFmtId="164" fontId="0" fillId="14" borderId="1" xfId="0" applyNumberFormat="1" applyFill="1" applyBorder="1"/>
    <xf numFmtId="164" fontId="2" fillId="14" borderId="1" xfId="0" applyNumberFormat="1" applyFont="1" applyFill="1" applyBorder="1"/>
    <xf numFmtId="0" fontId="2" fillId="9" borderId="3" xfId="0" applyFont="1" applyFill="1" applyBorder="1" applyAlignment="1">
      <alignment horizontal="center" vertical="center" wrapText="1"/>
    </xf>
    <xf numFmtId="164" fontId="2" fillId="9" borderId="3" xfId="0" applyNumberFormat="1" applyFont="1" applyFill="1" applyBorder="1"/>
    <xf numFmtId="164" fontId="0" fillId="9" borderId="3" xfId="0" applyNumberFormat="1" applyFill="1" applyBorder="1"/>
    <xf numFmtId="0" fontId="2" fillId="0" borderId="0" xfId="0" applyFont="1" applyAlignment="1">
      <alignment horizontal="center" vertical="center" wrapText="1"/>
    </xf>
    <xf numFmtId="164" fontId="2" fillId="9" borderId="1" xfId="1" applyNumberFormat="1" applyFont="1" applyFill="1" applyBorder="1" applyAlignment="1">
      <alignment horizontal="center"/>
    </xf>
    <xf numFmtId="164" fontId="0" fillId="9" borderId="1" xfId="0" applyNumberFormat="1" applyFill="1" applyBorder="1" applyAlignment="1">
      <alignment horizontal="right"/>
    </xf>
    <xf numFmtId="164" fontId="0" fillId="11" borderId="1" xfId="1" applyNumberFormat="1" applyFont="1" applyFill="1" applyBorder="1"/>
    <xf numFmtId="164" fontId="0" fillId="11" borderId="3" xfId="0" applyNumberFormat="1" applyFill="1" applyBorder="1"/>
    <xf numFmtId="164" fontId="2" fillId="8" borderId="1" xfId="0" applyNumberFormat="1" applyFont="1" applyFill="1" applyBorder="1" applyAlignment="1">
      <alignment horizontal="center" vertical="center"/>
    </xf>
    <xf numFmtId="164" fontId="0" fillId="8" borderId="1" xfId="0" applyNumberFormat="1" applyFill="1" applyBorder="1" applyAlignment="1">
      <alignment horizontal="right" vertical="center"/>
    </xf>
    <xf numFmtId="164" fontId="2" fillId="5" borderId="1" xfId="0" applyNumberFormat="1" applyFont="1" applyFill="1" applyBorder="1" applyAlignment="1">
      <alignment horizontal="center" vertical="center"/>
    </xf>
    <xf numFmtId="164" fontId="2" fillId="9" borderId="1" xfId="0" applyNumberFormat="1" applyFon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4" fontId="2" fillId="8" borderId="1" xfId="0" applyNumberFormat="1" applyFont="1" applyFill="1" applyBorder="1" applyAlignment="1">
      <alignment horizontal="center"/>
    </xf>
    <xf numFmtId="164" fontId="0" fillId="9" borderId="1" xfId="0" applyNumberFormat="1" applyFill="1" applyBorder="1" applyAlignment="1">
      <alignment horizontal="right" vertical="center"/>
    </xf>
    <xf numFmtId="164" fontId="0" fillId="8" borderId="1" xfId="0" applyNumberFormat="1" applyFill="1" applyBorder="1" applyAlignment="1">
      <alignment horizontal="right" vertical="center" wrapText="1"/>
    </xf>
    <xf numFmtId="164" fontId="0" fillId="0" borderId="0" xfId="0" applyNumberFormat="1" applyAlignment="1">
      <alignment horizontal="right" vertical="center"/>
    </xf>
    <xf numFmtId="164" fontId="2" fillId="5" borderId="1" xfId="0" applyNumberFormat="1" applyFont="1" applyFill="1" applyBorder="1" applyAlignment="1">
      <alignment horizontal="right" vertical="center"/>
    </xf>
    <xf numFmtId="164" fontId="0" fillId="5" borderId="1" xfId="0" applyNumberFormat="1" applyFill="1" applyBorder="1" applyAlignment="1">
      <alignment horizontal="right" vertical="center"/>
    </xf>
    <xf numFmtId="164" fontId="2" fillId="9" borderId="1" xfId="1" applyNumberFormat="1" applyFont="1" applyFill="1" applyBorder="1" applyAlignment="1">
      <alignment horizontal="right" vertical="center"/>
    </xf>
    <xf numFmtId="164" fontId="0" fillId="6" borderId="1" xfId="0" applyNumberFormat="1" applyFill="1" applyBorder="1" applyAlignment="1">
      <alignment horizontal="right" vertical="center"/>
    </xf>
    <xf numFmtId="164" fontId="2" fillId="6" borderId="1" xfId="0" applyNumberFormat="1" applyFont="1" applyFill="1" applyBorder="1" applyAlignment="1">
      <alignment horizontal="right" vertical="center"/>
    </xf>
    <xf numFmtId="0" fontId="6" fillId="15" borderId="1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/>
    </xf>
    <xf numFmtId="164" fontId="7" fillId="15" borderId="1" xfId="1" applyNumberFormat="1" applyFont="1" applyFill="1" applyBorder="1"/>
    <xf numFmtId="164" fontId="0" fillId="8" borderId="1" xfId="0" applyNumberFormat="1" applyFill="1" applyBorder="1" applyAlignment="1">
      <alignment horizontal="right" wrapText="1"/>
    </xf>
    <xf numFmtId="164" fontId="2" fillId="3" borderId="1" xfId="0" applyNumberFormat="1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8" fontId="0" fillId="16" borderId="1" xfId="0" applyNumberFormat="1" applyFill="1" applyBorder="1" applyAlignment="1">
      <alignment horizontal="right"/>
    </xf>
    <xf numFmtId="0" fontId="2" fillId="17" borderId="1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164" fontId="0" fillId="17" borderId="3" xfId="0" applyNumberFormat="1" applyFill="1" applyBorder="1"/>
    <xf numFmtId="0" fontId="0" fillId="2" borderId="1" xfId="0" applyFill="1" applyBorder="1" applyAlignment="1">
      <alignment horizontal="center" vertical="center" wrapText="1"/>
    </xf>
    <xf numFmtId="2" fontId="0" fillId="2" borderId="1" xfId="0" applyNumberFormat="1" applyFill="1" applyBorder="1"/>
    <xf numFmtId="0" fontId="2" fillId="4" borderId="0" xfId="0" applyFont="1" applyFill="1" applyAlignment="1">
      <alignment horizontal="center" vertical="center"/>
    </xf>
    <xf numFmtId="1" fontId="9" fillId="18" borderId="1" xfId="0" applyNumberFormat="1" applyFont="1" applyFill="1" applyBorder="1" applyAlignment="1">
      <alignment horizontal="center"/>
    </xf>
    <xf numFmtId="164" fontId="9" fillId="18" borderId="2" xfId="0" applyNumberFormat="1" applyFont="1" applyFill="1" applyBorder="1" applyAlignment="1">
      <alignment horizontal="right" vertical="center"/>
    </xf>
    <xf numFmtId="164" fontId="0" fillId="11" borderId="1" xfId="0" applyNumberFormat="1" applyFill="1" applyBorder="1"/>
    <xf numFmtId="0" fontId="2" fillId="4" borderId="0" xfId="0" applyFont="1" applyFill="1" applyAlignment="1">
      <alignment horizontal="center" vertical="center"/>
    </xf>
    <xf numFmtId="0" fontId="0" fillId="0" borderId="4" xfId="0" applyBorder="1" applyAlignment="1">
      <alignment horizont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12" borderId="3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FF99FF"/>
      <color rgb="FFFFDBCD"/>
      <color rgb="FF9999FF"/>
      <color rgb="FFFFD1D1"/>
      <color rgb="FFFFD5FF"/>
      <color rgb="FFCCCC00"/>
      <color rgb="FF7D32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Proporção Gasto</a:t>
            </a:r>
            <a:r>
              <a:rPr lang="pt-BR" baseline="0"/>
              <a:t> Financeiro </a:t>
            </a:r>
            <a:r>
              <a:rPr lang="pt-BR"/>
              <a:t>Consulta x Cirurgias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EE0-40D5-922B-10304BD3DBC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EE0-40D5-922B-10304BD3DBCF}"/>
              </c:ext>
            </c:extLst>
          </c:dPt>
          <c:dLbls>
            <c:dLbl>
              <c:idx val="0"/>
              <c:layout>
                <c:manualLayout>
                  <c:x val="-2.6240157480314961E-3"/>
                  <c:y val="-2.296259842519685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EE0-40D5-922B-10304BD3DBCF}"/>
                </c:ext>
              </c:extLst>
            </c:dLbl>
            <c:dLbl>
              <c:idx val="1"/>
              <c:layout>
                <c:manualLayout>
                  <c:x val="-1.8905730533683291E-2"/>
                  <c:y val="1.4954797317002042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EE0-40D5-922B-10304BD3DBC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'COMPETENCIAS )'!$A$17:$A$18</c:f>
              <c:strCache>
                <c:ptCount val="2"/>
                <c:pt idx="0">
                  <c:v>Consultas</c:v>
                </c:pt>
                <c:pt idx="1">
                  <c:v>Cirurgia</c:v>
                </c:pt>
              </c:strCache>
            </c:strRef>
          </c:cat>
          <c:val>
            <c:numRef>
              <c:f>'COMPETENCIAS )'!$B$17:$B$18</c:f>
              <c:numCache>
                <c:formatCode>#,##0.00</c:formatCode>
                <c:ptCount val="2"/>
                <c:pt idx="0">
                  <c:v>59400</c:v>
                </c:pt>
                <c:pt idx="1">
                  <c:v>1294575.8900000001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E0-40D5-922B-10304BD3DBCF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F8A-4019-9C09-E4409AEFB7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F8A-4019-9C09-E4409AEFB7EC}"/>
              </c:ext>
            </c:extLst>
          </c:dPt>
          <c:cat>
            <c:strRef>
              <c:f>'COMPETENCIAS )'!$A$17:$A$18</c:f>
              <c:strCache>
                <c:ptCount val="2"/>
                <c:pt idx="0">
                  <c:v>Consultas</c:v>
                </c:pt>
                <c:pt idx="1">
                  <c:v>Cirurgia</c:v>
                </c:pt>
              </c:strCache>
            </c:strRef>
          </c:cat>
          <c:val>
            <c:numRef>
              <c:f>'COMPETENCIAS )'!$C$17:$C$18</c:f>
              <c:numCache>
                <c:formatCode>0</c:formatCode>
                <c:ptCount val="2"/>
                <c:pt idx="0">
                  <c:v>4.3870795956344537</c:v>
                </c:pt>
                <c:pt idx="1">
                  <c:v>95.612920404365539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E0-40D5-922B-10304BD3DB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% Gasto + Provisionamento</a:t>
            </a:r>
            <a:r>
              <a:rPr lang="pt-BR" baseline="0"/>
              <a:t> 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E53-4607-98C3-49454F56646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E53-4607-98C3-49454F56646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E53-4607-98C3-49454F56646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'COMPETENCIAS )'!$A$21:$A$23</c:f>
              <c:strCache>
                <c:ptCount val="3"/>
                <c:pt idx="0">
                  <c:v>% Saldo Gasto + Provisionado</c:v>
                </c:pt>
                <c:pt idx="1">
                  <c:v>Gasto</c:v>
                </c:pt>
                <c:pt idx="2">
                  <c:v>Saldo</c:v>
                </c:pt>
              </c:strCache>
            </c:strRef>
          </c:cat>
          <c:val>
            <c:numRef>
              <c:f>'COMPETENCIAS )'!$B$21:$B$23</c:f>
              <c:numCache>
                <c:formatCode>"R$"#,##0.00_);[Red]\("R$"#,##0.00\)</c:formatCode>
                <c:ptCount val="3"/>
                <c:pt idx="1">
                  <c:v>1353975.8900000001</c:v>
                </c:pt>
                <c:pt idx="2">
                  <c:v>646024.10999999987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78-43C5-98CA-F8C49C3C9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66675</xdr:colOff>
      <xdr:row>17</xdr:row>
      <xdr:rowOff>147637</xdr:rowOff>
    </xdr:from>
    <xdr:to>
      <xdr:col>6</xdr:col>
      <xdr:colOff>0</xdr:colOff>
      <xdr:row>32</xdr:row>
      <xdr:rowOff>33337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81DD247-9C79-8EB7-932B-3292F1293C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176212</xdr:rowOff>
    </xdr:from>
    <xdr:to>
      <xdr:col>9</xdr:col>
      <xdr:colOff>957262</xdr:colOff>
      <xdr:row>31</xdr:row>
      <xdr:rowOff>61912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4276F63-1ABC-9F7B-1D60-3910AAEBA0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007F9-8DC8-4C86-992C-C5029AD92B60}">
  <dimension ref="A1:L39"/>
  <sheetViews>
    <sheetView topLeftCell="A3" zoomScale="85" zoomScaleNormal="85" workbookViewId="0">
      <selection activeCell="L15" sqref="L15"/>
    </sheetView>
  </sheetViews>
  <sheetFormatPr defaultRowHeight="15" x14ac:dyDescent="0.25"/>
  <cols>
    <col min="1" max="1" width="13.7109375" customWidth="1"/>
    <col min="2" max="3" width="14.42578125" bestFit="1" customWidth="1"/>
    <col min="4" max="4" width="14.42578125" customWidth="1"/>
    <col min="5" max="6" width="12.7109375" customWidth="1"/>
    <col min="7" max="7" width="14.7109375" customWidth="1"/>
    <col min="8" max="8" width="12.42578125" customWidth="1"/>
    <col min="9" max="9" width="14.5703125" bestFit="1" customWidth="1"/>
    <col min="10" max="10" width="14.42578125" bestFit="1" customWidth="1"/>
    <col min="11" max="12" width="14.42578125" customWidth="1"/>
  </cols>
  <sheetData>
    <row r="1" spans="1:12" x14ac:dyDescent="0.25">
      <c r="A1" s="105" t="s">
        <v>36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</row>
    <row r="2" spans="1:12" ht="30" x14ac:dyDescent="0.25">
      <c r="A2" s="121" t="s">
        <v>10</v>
      </c>
      <c r="B2" s="92" t="s">
        <v>19</v>
      </c>
      <c r="C2" s="3" t="s">
        <v>27</v>
      </c>
      <c r="D2" s="76" t="s">
        <v>19</v>
      </c>
      <c r="E2" s="33" t="s">
        <v>27</v>
      </c>
      <c r="F2" s="77" t="s">
        <v>19</v>
      </c>
      <c r="G2" s="27" t="s">
        <v>27</v>
      </c>
      <c r="H2" s="3" t="s">
        <v>27</v>
      </c>
      <c r="I2" s="25" t="s">
        <v>19</v>
      </c>
      <c r="J2" s="93" t="s">
        <v>19</v>
      </c>
      <c r="K2" s="93" t="s">
        <v>30</v>
      </c>
      <c r="L2" s="37" t="s">
        <v>21</v>
      </c>
    </row>
    <row r="3" spans="1:12" ht="17.25" customHeight="1" x14ac:dyDescent="0.25">
      <c r="A3" s="5" t="s">
        <v>0</v>
      </c>
      <c r="B3" s="6">
        <f>'COMPETENCIA  OUT A NOV'!C4+'COMPETENCIA NOV A DEZ 25'!C4+'COMPETENCIA DEZ A JAN 25'!C4</f>
        <v>128724.30000000002</v>
      </c>
      <c r="C3" s="6">
        <f>'COMPETENCIA  OUT A NOV'!E4+'COMPETENCIA NOV A DEZ 25'!E4+'COMPETENCIA DEZ A JAN 25'!E4</f>
        <v>3900</v>
      </c>
      <c r="D3" s="8">
        <f>'COMPETENCIA  OUT A NOV'!G4+'COMPETENCIA NOV A DEZ 25'!G4+'COMPETENCIA DEZ A JAN 25'!G4</f>
        <v>7698.35</v>
      </c>
      <c r="E3" s="8">
        <f>'COMPETENCIA  OUT A NOV'!I4+'COMPETENCIA NOV A DEZ 25'!I4+'COMPETENCIA DEZ A JAN 25'!I4</f>
        <v>900</v>
      </c>
      <c r="F3" s="19">
        <f>'COMPETENCIA  OUT A NOV'!M4+'COMPETENCIA NOV A DEZ 25'!M4+'COMPETENCIA DEZ A JAN 25'!M4</f>
        <v>0</v>
      </c>
      <c r="G3" s="19">
        <f>'COMPETENCIA  OUT A NOV'!O4+'COMPETENCIA NOV A DEZ 25'!O4+'COMPETENCIA DEZ A JAN 25'!O4</f>
        <v>0</v>
      </c>
      <c r="H3" s="30">
        <f>'COMPETENCIA  OUT A NOV'!Q4+'COMPETENCIA NOV A DEZ 25'!Q4+'COMPETENCIA DEZ A JAN 25'!Q4</f>
        <v>4800</v>
      </c>
      <c r="I3" s="29">
        <f>'COMPETENCIA  OUT A NOV'!S4+'COMPETENCIA NOV A DEZ 25'!S4+'COMPETENCIA DEZ A JAN 25'!S4</f>
        <v>136422.65000000002</v>
      </c>
      <c r="J3" s="94">
        <f>'COMPETENCIA  OUT A NOV'!T4+'COMPETENCIA NOV A DEZ 25'!T4+'COMPETENCIA DEZ A JAN 25'!T4</f>
        <v>141222.65000000002</v>
      </c>
      <c r="K3" s="38">
        <f>'COMPETENCIA  OUT A NOV'!U4+'COMPETENCIA NOV A DEZ 25'!U4+'COMPETENCIA DEZ A JAN 25'!U4</f>
        <v>171222.65</v>
      </c>
      <c r="L3" s="34">
        <f>K3-J3</f>
        <v>29999.999999999971</v>
      </c>
    </row>
    <row r="4" spans="1:12" ht="17.25" customHeight="1" x14ac:dyDescent="0.25">
      <c r="A4" s="5" t="s">
        <v>1</v>
      </c>
      <c r="B4" s="6">
        <f>'COMPETENCIA  OUT A NOV'!C5+'COMPETENCIA NOV A DEZ 25'!C5+'COMPETENCIA DEZ A JAN 25'!C5</f>
        <v>0</v>
      </c>
      <c r="C4" s="6">
        <f>'COMPETENCIA  OUT A NOV'!E5+'COMPETENCIA NOV A DEZ 25'!E5+'COMPETENCIA DEZ A JAN 25'!E5</f>
        <v>0</v>
      </c>
      <c r="D4" s="8">
        <f>'COMPETENCIA  OUT A NOV'!G5+'COMPETENCIA NOV A DEZ 25'!G5+'COMPETENCIA DEZ A JAN 25'!G5</f>
        <v>114495.54000000001</v>
      </c>
      <c r="E4" s="8">
        <f>'COMPETENCIA  OUT A NOV'!I5+'COMPETENCIA NOV A DEZ 25'!I5+'COMPETENCIA DEZ A JAN 25'!I5</f>
        <v>4800</v>
      </c>
      <c r="F4" s="19">
        <f>'COMPETENCIA  OUT A NOV'!M5+'COMPETENCIA NOV A DEZ 25'!M5+'COMPETENCIA DEZ A JAN 25'!M5</f>
        <v>0</v>
      </c>
      <c r="G4" s="19">
        <f>'COMPETENCIA  OUT A NOV'!O5+'COMPETENCIA NOV A DEZ 25'!O5+'COMPETENCIA DEZ A JAN 25'!O5</f>
        <v>0</v>
      </c>
      <c r="H4" s="30">
        <f>'COMPETENCIA  OUT A NOV'!Q5+'COMPETENCIA NOV A DEZ 25'!Q5+'COMPETENCIA DEZ A JAN 25'!Q5</f>
        <v>4800</v>
      </c>
      <c r="I4" s="29">
        <f>'COMPETENCIA  OUT A NOV'!S5+'COMPETENCIA NOV A DEZ 25'!S5+'COMPETENCIA DEZ A JAN 25'!S5</f>
        <v>114495.54000000001</v>
      </c>
      <c r="J4" s="94">
        <f>'COMPETENCIA  OUT A NOV'!T5+'COMPETENCIA NOV A DEZ 25'!T5+'COMPETENCIA DEZ A JAN 25'!T5</f>
        <v>119295.54000000001</v>
      </c>
      <c r="K4" s="38">
        <f>'COMPETENCIA  OUT A NOV'!U5+'COMPETENCIA NOV A DEZ 25'!U5+'COMPETENCIA DEZ A JAN 25'!U5</f>
        <v>119295.54000000001</v>
      </c>
      <c r="L4" s="34">
        <f t="shared" ref="L4:L15" si="0">K4-J4</f>
        <v>0</v>
      </c>
    </row>
    <row r="5" spans="1:12" x14ac:dyDescent="0.25">
      <c r="A5" s="5" t="s">
        <v>2</v>
      </c>
      <c r="B5" s="6">
        <f>'COMPETENCIA  OUT A NOV'!C6+'COMPETENCIA NOV A DEZ 25'!C6+'COMPETENCIA DEZ A JAN 25'!C6</f>
        <v>10700</v>
      </c>
      <c r="C5" s="6">
        <f>'COMPETENCIA  OUT A NOV'!E6+'COMPETENCIA NOV A DEZ 25'!E6+'COMPETENCIA DEZ A JAN 25'!E6</f>
        <v>300</v>
      </c>
      <c r="D5" s="8">
        <f>'COMPETENCIA  OUT A NOV'!G6+'COMPETENCIA NOV A DEZ 25'!G6+'COMPETENCIA DEZ A JAN 25'!G6</f>
        <v>7698.35</v>
      </c>
      <c r="E5" s="8">
        <f>'COMPETENCIA  OUT A NOV'!I6+'COMPETENCIA NOV A DEZ 25'!I6+'COMPETENCIA DEZ A JAN 25'!I6</f>
        <v>300</v>
      </c>
      <c r="F5" s="19">
        <f>'COMPETENCIA  OUT A NOV'!M6+'COMPETENCIA NOV A DEZ 25'!M6+'COMPETENCIA DEZ A JAN 25'!M6</f>
        <v>27439.71</v>
      </c>
      <c r="G5" s="19">
        <f>'COMPETENCIA  OUT A NOV'!O6+'COMPETENCIA NOV A DEZ 25'!O6+'COMPETENCIA DEZ A JAN 25'!O6</f>
        <v>1500</v>
      </c>
      <c r="H5" s="30">
        <f>'COMPETENCIA  OUT A NOV'!Q6+'COMPETENCIA NOV A DEZ 25'!Q6+'COMPETENCIA DEZ A JAN 25'!Q6</f>
        <v>2100</v>
      </c>
      <c r="I5" s="29">
        <f>'COMPETENCIA  OUT A NOV'!S6+'COMPETENCIA NOV A DEZ 25'!S6+'COMPETENCIA DEZ A JAN 25'!S6</f>
        <v>45838.06</v>
      </c>
      <c r="J5" s="94">
        <f>'COMPETENCIA  OUT A NOV'!T6+'COMPETENCIA NOV A DEZ 25'!T6+'COMPETENCIA DEZ A JAN 25'!T6</f>
        <v>47938.06</v>
      </c>
      <c r="K5" s="38">
        <f>'COMPETENCIA  OUT A NOV'!U6+'COMPETENCIA NOV A DEZ 25'!U6+'COMPETENCIA DEZ A JAN 25'!U6</f>
        <v>80000</v>
      </c>
      <c r="L5" s="34">
        <f t="shared" si="0"/>
        <v>32061.940000000002</v>
      </c>
    </row>
    <row r="6" spans="1:12" x14ac:dyDescent="0.25">
      <c r="A6" s="5" t="s">
        <v>3</v>
      </c>
      <c r="B6" s="6">
        <f>'COMPETENCIA  OUT A NOV'!C7+'COMPETENCIA NOV A DEZ 25'!C7+'COMPETENCIA DEZ A JAN 25'!C7</f>
        <v>43656.02</v>
      </c>
      <c r="C6" s="6">
        <f>'COMPETENCIA  OUT A NOV'!E7+'COMPETENCIA NOV A DEZ 25'!E7+'COMPETENCIA DEZ A JAN 25'!E7</f>
        <v>1200</v>
      </c>
      <c r="D6" s="8">
        <f>'COMPETENCIA  OUT A NOV'!G7+'COMPETENCIA NOV A DEZ 25'!G7+'COMPETENCIA DEZ A JAN 25'!G7</f>
        <v>36123.4</v>
      </c>
      <c r="E6" s="8">
        <f>'COMPETENCIA  OUT A NOV'!I7+'COMPETENCIA NOV A DEZ 25'!I7+'COMPETENCIA DEZ A JAN 25'!I7</f>
        <v>1500</v>
      </c>
      <c r="F6" s="19">
        <f>'COMPETENCIA  OUT A NOV'!M7+'COMPETENCIA NOV A DEZ 25'!M7+'COMPETENCIA DEZ A JAN 25'!M7</f>
        <v>13028.35</v>
      </c>
      <c r="G6" s="19">
        <f>'COMPETENCIA  OUT A NOV'!O7+'COMPETENCIA NOV A DEZ 25'!O7+'COMPETENCIA DEZ A JAN 25'!O7</f>
        <v>600</v>
      </c>
      <c r="H6" s="30">
        <f>'COMPETENCIA  OUT A NOV'!Q7+'COMPETENCIA NOV A DEZ 25'!Q7+'COMPETENCIA DEZ A JAN 25'!Q7</f>
        <v>3300</v>
      </c>
      <c r="I6" s="29">
        <f>'COMPETENCIA  OUT A NOV'!S7+'COMPETENCIA NOV A DEZ 25'!S7+'COMPETENCIA DEZ A JAN 25'!S7</f>
        <v>92807.76999999999</v>
      </c>
      <c r="J6" s="94">
        <f>'COMPETENCIA  OUT A NOV'!T7+'COMPETENCIA NOV A DEZ 25'!T7+'COMPETENCIA DEZ A JAN 25'!T7</f>
        <v>96107.76999999999</v>
      </c>
      <c r="K6" s="38">
        <f>'COMPETENCIA  OUT A NOV'!U7+'COMPETENCIA NOV A DEZ 25'!U7+'COMPETENCIA DEZ A JAN 25'!U7</f>
        <v>114856.01999999999</v>
      </c>
      <c r="L6" s="34">
        <f t="shared" si="0"/>
        <v>18748.25</v>
      </c>
    </row>
    <row r="7" spans="1:12" ht="17.25" customHeight="1" x14ac:dyDescent="0.25">
      <c r="A7" s="5" t="s">
        <v>4</v>
      </c>
      <c r="B7" s="6">
        <f>'COMPETENCIA  OUT A NOV'!C8+'COMPETENCIA NOV A DEZ 25'!C8+'COMPETENCIA DEZ A JAN 25'!C8</f>
        <v>15937.06</v>
      </c>
      <c r="C7" s="6">
        <f>'COMPETENCIA  OUT A NOV'!E8+'COMPETENCIA NOV A DEZ 25'!E8+'COMPETENCIA DEZ A JAN 25'!E8</f>
        <v>300</v>
      </c>
      <c r="D7" s="8">
        <f>'COMPETENCIA  OUT A NOV'!G8+'COMPETENCIA NOV A DEZ 25'!G8+'COMPETENCIA DEZ A JAN 25'!G8</f>
        <v>98159.06</v>
      </c>
      <c r="E7" s="8">
        <f>'COMPETENCIA  OUT A NOV'!I8+'COMPETENCIA NOV A DEZ 25'!I8+'COMPETENCIA DEZ A JAN 25'!I8</f>
        <v>5100</v>
      </c>
      <c r="F7" s="19">
        <f>'COMPETENCIA  OUT A NOV'!M8+'COMPETENCIA NOV A DEZ 25'!M8+'COMPETENCIA DEZ A JAN 25'!M8</f>
        <v>5330</v>
      </c>
      <c r="G7" s="19">
        <f>'COMPETENCIA  OUT A NOV'!O8+'COMPETENCIA NOV A DEZ 25'!O8+'COMPETENCIA DEZ A JAN 25'!O8</f>
        <v>300</v>
      </c>
      <c r="H7" s="30">
        <f>'COMPETENCIA  OUT A NOV'!Q8+'COMPETENCIA NOV A DEZ 25'!Q8+'COMPETENCIA DEZ A JAN 25'!Q8</f>
        <v>5700</v>
      </c>
      <c r="I7" s="29">
        <f>'COMPETENCIA  OUT A NOV'!S8+'COMPETENCIA NOV A DEZ 25'!S8+'COMPETENCIA DEZ A JAN 25'!S8</f>
        <v>119426.12</v>
      </c>
      <c r="J7" s="94">
        <f>'COMPETENCIA  OUT A NOV'!T8+'COMPETENCIA NOV A DEZ 25'!T8+'COMPETENCIA DEZ A JAN 25'!T8</f>
        <v>125126.12</v>
      </c>
      <c r="K7" s="38">
        <f>'COMPETENCIA  OUT A NOV'!U8+'COMPETENCIA NOV A DEZ 25'!U8+'COMPETENCIA DEZ A JAN 25'!U8</f>
        <v>149389.89000000001</v>
      </c>
      <c r="L7" s="34">
        <f t="shared" si="0"/>
        <v>24263.770000000019</v>
      </c>
    </row>
    <row r="8" spans="1:12" x14ac:dyDescent="0.25">
      <c r="A8" s="5" t="s">
        <v>6</v>
      </c>
      <c r="B8" s="6">
        <f>'COMPETENCIA  OUT A NOV'!C9+'COMPETENCIA NOV A DEZ 25'!C9+'COMPETENCIA DEZ A JAN 25'!C9</f>
        <v>113377.04</v>
      </c>
      <c r="C8" s="6">
        <f>'COMPETENCIA  OUT A NOV'!E9+'COMPETENCIA NOV A DEZ 25'!E9+'COMPETENCIA DEZ A JAN 25'!E9</f>
        <v>3600</v>
      </c>
      <c r="D8" s="8">
        <f>'COMPETENCIA  OUT A NOV'!G9+'COMPETENCIA NOV A DEZ 25'!G9+'COMPETENCIA DEZ A JAN 25'!G9</f>
        <v>71399.89</v>
      </c>
      <c r="E8" s="8">
        <f>'COMPETENCIA  OUT A NOV'!I9+'COMPETENCIA NOV A DEZ 25'!I9+'COMPETENCIA DEZ A JAN 25'!I9</f>
        <v>3600</v>
      </c>
      <c r="F8" s="19">
        <f>'COMPETENCIA  OUT A NOV'!M9+'COMPETENCIA NOV A DEZ 25'!M9+'COMPETENCIA DEZ A JAN 25'!M9</f>
        <v>7698.35</v>
      </c>
      <c r="G8" s="19">
        <f>'COMPETENCIA  OUT A NOV'!O9+'COMPETENCIA NOV A DEZ 25'!O9+'COMPETENCIA DEZ A JAN 25'!O9</f>
        <v>600</v>
      </c>
      <c r="H8" s="30">
        <f>'COMPETENCIA  OUT A NOV'!Q9+'COMPETENCIA NOV A DEZ 25'!Q9+'COMPETENCIA DEZ A JAN 25'!Q9</f>
        <v>7800</v>
      </c>
      <c r="I8" s="29">
        <f>'COMPETENCIA  OUT A NOV'!S9+'COMPETENCIA NOV A DEZ 25'!S9+'COMPETENCIA DEZ A JAN 25'!S9</f>
        <v>192475.28</v>
      </c>
      <c r="J8" s="94">
        <f>'COMPETENCIA  OUT A NOV'!T9+'COMPETENCIA NOV A DEZ 25'!T9+'COMPETENCIA DEZ A JAN 25'!T9</f>
        <v>200275.28</v>
      </c>
      <c r="K8" s="38">
        <f>'COMPETENCIA  OUT A NOV'!U9+'COMPETENCIA NOV A DEZ 25'!U9+'COMPETENCIA DEZ A JAN 25'!U9</f>
        <v>217919.47000000003</v>
      </c>
      <c r="L8" s="34">
        <f t="shared" si="0"/>
        <v>17644.190000000031</v>
      </c>
    </row>
    <row r="9" spans="1:12" x14ac:dyDescent="0.25">
      <c r="A9" s="5" t="s">
        <v>11</v>
      </c>
      <c r="B9" s="6">
        <f>'COMPETENCIA  OUT A NOV'!C10+'COMPETENCIA NOV A DEZ 25'!C10+'COMPETENCIA DEZ A JAN 25'!C10</f>
        <v>0</v>
      </c>
      <c r="C9" s="6">
        <f>'COMPETENCIA  OUT A NOV'!E10+'COMPETENCIA NOV A DEZ 25'!E10+'COMPETENCIA DEZ A JAN 25'!E10</f>
        <v>0</v>
      </c>
      <c r="D9" s="8">
        <f>'COMPETENCIA  OUT A NOV'!G10+'COMPETENCIA NOV A DEZ 25'!G10+'COMPETENCIA DEZ A JAN 25'!G10</f>
        <v>9700</v>
      </c>
      <c r="E9" s="8">
        <f>'COMPETENCIA  OUT A NOV'!I10+'COMPETENCIA NOV A DEZ 25'!I10+'COMPETENCIA DEZ A JAN 25'!I10</f>
        <v>900</v>
      </c>
      <c r="F9" s="19">
        <f>'COMPETENCIA  OUT A NOV'!M10+'COMPETENCIA NOV A DEZ 25'!M10+'COMPETENCIA DEZ A JAN 25'!M10</f>
        <v>0</v>
      </c>
      <c r="G9" s="19">
        <f>'COMPETENCIA  OUT A NOV'!O10+'COMPETENCIA NOV A DEZ 25'!O10+'COMPETENCIA DEZ A JAN 25'!O10</f>
        <v>300</v>
      </c>
      <c r="H9" s="30">
        <f>'COMPETENCIA  OUT A NOV'!Q10+'COMPETENCIA NOV A DEZ 25'!Q10+'COMPETENCIA DEZ A JAN 25'!Q10</f>
        <v>1200</v>
      </c>
      <c r="I9" s="29">
        <f>'COMPETENCIA  OUT A NOV'!S10+'COMPETENCIA NOV A DEZ 25'!S10+'COMPETENCIA DEZ A JAN 25'!S10</f>
        <v>9700</v>
      </c>
      <c r="J9" s="94">
        <f>'COMPETENCIA  OUT A NOV'!T10+'COMPETENCIA NOV A DEZ 25'!T10+'COMPETENCIA DEZ A JAN 25'!T10</f>
        <v>10900</v>
      </c>
      <c r="K9" s="38">
        <f>'COMPETENCIA  OUT A NOV'!U10+'COMPETENCIA NOV A DEZ 25'!U10+'COMPETENCIA DEZ A JAN 25'!U10</f>
        <v>40900</v>
      </c>
      <c r="L9" s="34">
        <f t="shared" si="0"/>
        <v>30000</v>
      </c>
    </row>
    <row r="10" spans="1:12" x14ac:dyDescent="0.25">
      <c r="A10" s="5" t="s">
        <v>5</v>
      </c>
      <c r="B10" s="6">
        <f>'COMPETENCIA  OUT A NOV'!C11+'COMPETENCIA NOV A DEZ 25'!C11+'COMPETENCIA DEZ A JAN 25'!C11</f>
        <v>150978.38</v>
      </c>
      <c r="C10" s="6">
        <f>'COMPETENCIA  OUT A NOV'!E11+'COMPETENCIA NOV A DEZ 25'!E11+'COMPETENCIA DEZ A JAN 25'!E11</f>
        <v>6600</v>
      </c>
      <c r="D10" s="8">
        <f>'COMPETENCIA  OUT A NOV'!G11+'COMPETENCIA NOV A DEZ 25'!G11+'COMPETENCIA DEZ A JAN 25'!G11</f>
        <v>46225.119999999995</v>
      </c>
      <c r="E10" s="8">
        <f>'COMPETENCIA  OUT A NOV'!I11+'COMPETENCIA NOV A DEZ 25'!I11+'COMPETENCIA DEZ A JAN 25'!I11</f>
        <v>2400</v>
      </c>
      <c r="F10" s="19">
        <f>'COMPETENCIA  OUT A NOV'!M11+'COMPETENCIA NOV A DEZ 25'!M11+'COMPETENCIA DEZ A JAN 25'!M11</f>
        <v>0</v>
      </c>
      <c r="G10" s="19">
        <f>'COMPETENCIA  OUT A NOV'!O11+'COMPETENCIA NOV A DEZ 25'!O11+'COMPETENCIA DEZ A JAN 25'!O11</f>
        <v>0</v>
      </c>
      <c r="H10" s="30">
        <f>'COMPETENCIA  OUT A NOV'!Q11+'COMPETENCIA NOV A DEZ 25'!Q11+'COMPETENCIA DEZ A JAN 25'!Q11</f>
        <v>9000</v>
      </c>
      <c r="I10" s="29">
        <f>'COMPETENCIA  OUT A NOV'!S11+'COMPETENCIA NOV A DEZ 25'!S11+'COMPETENCIA DEZ A JAN 25'!S11</f>
        <v>197203.5</v>
      </c>
      <c r="J10" s="94">
        <f>'COMPETENCIA  OUT A NOV'!T11+'COMPETENCIA NOV A DEZ 25'!T11+'COMPETENCIA DEZ A JAN 25'!T11</f>
        <v>206203.5</v>
      </c>
      <c r="K10" s="38">
        <f>'COMPETENCIA  OUT A NOV'!U11+'COMPETENCIA NOV A DEZ 25'!U11+'COMPETENCIA DEZ A JAN 25'!U11</f>
        <v>220511.28000000003</v>
      </c>
      <c r="L10" s="34">
        <f t="shared" si="0"/>
        <v>14307.780000000028</v>
      </c>
    </row>
    <row r="11" spans="1:12" x14ac:dyDescent="0.25">
      <c r="A11" s="5" t="s">
        <v>25</v>
      </c>
      <c r="B11" s="6">
        <f>'COMPETENCIA  OUT A NOV'!C12+'COMPETENCIA NOV A DEZ 25'!C12+'COMPETENCIA DEZ A JAN 25'!C12</f>
        <v>0</v>
      </c>
      <c r="C11" s="6">
        <f>'COMPETENCIA  OUT A NOV'!E12+'COMPETENCIA NOV A DEZ 25'!E12+'COMPETENCIA DEZ A JAN 25'!E12</f>
        <v>0</v>
      </c>
      <c r="D11" s="8">
        <f>'COMPETENCIA  OUT A NOV'!G12+'COMPETENCIA NOV A DEZ 25'!G12+'COMPETENCIA DEZ A JAN 25'!G12</f>
        <v>30793.4</v>
      </c>
      <c r="E11" s="8">
        <f>'COMPETENCIA  OUT A NOV'!I12+'COMPETENCIA NOV A DEZ 25'!I12+'COMPETENCIA DEZ A JAN 25'!I12</f>
        <v>1200</v>
      </c>
      <c r="F11" s="19">
        <f>'COMPETENCIA  OUT A NOV'!M12+'COMPETENCIA NOV A DEZ 25'!M12+'COMPETENCIA DEZ A JAN 25'!M12</f>
        <v>28425.05</v>
      </c>
      <c r="G11" s="19">
        <f>'COMPETENCIA  OUT A NOV'!O12+'COMPETENCIA NOV A DEZ 25'!O12+'COMPETENCIA DEZ A JAN 25'!O12</f>
        <v>1800</v>
      </c>
      <c r="H11" s="30">
        <f>'COMPETENCIA  OUT A NOV'!Q12+'COMPETENCIA NOV A DEZ 25'!Q12+'COMPETENCIA DEZ A JAN 25'!Q12</f>
        <v>3000</v>
      </c>
      <c r="I11" s="29">
        <f>'COMPETENCIA  OUT A NOV'!S12+'COMPETENCIA NOV A DEZ 25'!S12+'COMPETENCIA DEZ A JAN 25'!S12</f>
        <v>59218.45</v>
      </c>
      <c r="J11" s="94">
        <f>'COMPETENCIA  OUT A NOV'!T12+'COMPETENCIA NOV A DEZ 25'!T12+'COMPETENCIA DEZ A JAN 25'!T12</f>
        <v>62218.45</v>
      </c>
      <c r="K11" s="38">
        <f>'COMPETENCIA  OUT A NOV'!U12+'COMPETENCIA NOV A DEZ 25'!U12+'COMPETENCIA DEZ A JAN 25'!U12</f>
        <v>66525.05</v>
      </c>
      <c r="L11" s="34">
        <f t="shared" si="0"/>
        <v>4306.6000000000058</v>
      </c>
    </row>
    <row r="12" spans="1:12" x14ac:dyDescent="0.25">
      <c r="A12" s="5" t="s">
        <v>7</v>
      </c>
      <c r="B12" s="6">
        <f>'COMPETENCIA  OUT A NOV'!C13+'COMPETENCIA NOV A DEZ 25'!C13+'COMPETENCIA DEZ A JAN 25'!C13</f>
        <v>24250</v>
      </c>
      <c r="C12" s="6">
        <f>'COMPETENCIA  OUT A NOV'!E13+'COMPETENCIA NOV A DEZ 25'!E13+'COMPETENCIA DEZ A JAN 25'!E13</f>
        <v>1500</v>
      </c>
      <c r="D12" s="8">
        <f>'COMPETENCIA  OUT A NOV'!G13+'COMPETENCIA NOV A DEZ 25'!G13+'COMPETENCIA DEZ A JAN 25'!G13</f>
        <v>41574.119999999995</v>
      </c>
      <c r="E12" s="8">
        <f>'COMPETENCIA  OUT A NOV'!I13+'COMPETENCIA NOV A DEZ 25'!I13+'COMPETENCIA DEZ A JAN 25'!I13</f>
        <v>3600</v>
      </c>
      <c r="F12" s="19">
        <f>'COMPETENCIA  OUT A NOV'!M13+'COMPETENCIA NOV A DEZ 25'!M13+'COMPETENCIA DEZ A JAN 25'!M13</f>
        <v>30813.760000000002</v>
      </c>
      <c r="G12" s="19">
        <f>'COMPETENCIA  OUT A NOV'!O13+'COMPETENCIA NOV A DEZ 25'!O13+'COMPETENCIA DEZ A JAN 25'!O13</f>
        <v>2100</v>
      </c>
      <c r="H12" s="30">
        <f>'COMPETENCIA  OUT A NOV'!Q13+'COMPETENCIA NOV A DEZ 25'!Q13+'COMPETENCIA DEZ A JAN 25'!Q13</f>
        <v>7200</v>
      </c>
      <c r="I12" s="29">
        <f>'COMPETENCIA  OUT A NOV'!S13+'COMPETENCIA NOV A DEZ 25'!S13+'COMPETENCIA DEZ A JAN 25'!S13</f>
        <v>96637.87999999999</v>
      </c>
      <c r="J12" s="94">
        <f>'COMPETENCIA  OUT A NOV'!T13+'COMPETENCIA NOV A DEZ 25'!T13+'COMPETENCIA DEZ A JAN 25'!T13</f>
        <v>103837.87999999999</v>
      </c>
      <c r="K12" s="38">
        <f>'COMPETENCIA  OUT A NOV'!U13+'COMPETENCIA NOV A DEZ 25'!U13+'COMPETENCIA DEZ A JAN 25'!U13</f>
        <v>137145.66</v>
      </c>
      <c r="L12" s="34">
        <f t="shared" si="0"/>
        <v>33307.780000000013</v>
      </c>
    </row>
    <row r="13" spans="1:12" x14ac:dyDescent="0.25">
      <c r="A13" s="5" t="s">
        <v>8</v>
      </c>
      <c r="B13" s="6">
        <f>'COMPETENCIA  OUT A NOV'!C14+'COMPETENCIA NOV A DEZ 25'!C14+'COMPETENCIA DEZ A JAN 25'!C14</f>
        <v>60732.98</v>
      </c>
      <c r="C13" s="6">
        <f>'COMPETENCIA  OUT A NOV'!E14+'COMPETENCIA NOV A DEZ 25'!E14+'COMPETENCIA DEZ A JAN 25'!E14</f>
        <v>3000</v>
      </c>
      <c r="D13" s="8">
        <f>'COMPETENCIA  OUT A NOV'!G14+'COMPETENCIA NOV A DEZ 25'!G14+'COMPETENCIA DEZ A JAN 25'!G14</f>
        <v>31713.910000000003</v>
      </c>
      <c r="E13" s="8">
        <f>'COMPETENCIA  OUT A NOV'!I14+'COMPETENCIA NOV A DEZ 25'!I14+'COMPETENCIA DEZ A JAN 25'!I14</f>
        <v>1200</v>
      </c>
      <c r="F13" s="19">
        <f>'COMPETENCIA  OUT A NOV'!M14+'COMPETENCIA NOV A DEZ 25'!M14+'COMPETENCIA DEZ A JAN 25'!M14</f>
        <v>24250</v>
      </c>
      <c r="G13" s="19">
        <f>'COMPETENCIA  OUT A NOV'!O14+'COMPETENCIA NOV A DEZ 25'!O14+'COMPETENCIA DEZ A JAN 25'!O14</f>
        <v>1500</v>
      </c>
      <c r="H13" s="30">
        <f>'COMPETENCIA  OUT A NOV'!Q14+'COMPETENCIA NOV A DEZ 25'!Q14+'COMPETENCIA DEZ A JAN 25'!Q14</f>
        <v>5700</v>
      </c>
      <c r="I13" s="29">
        <f>'COMPETENCIA  OUT A NOV'!S14+'COMPETENCIA NOV A DEZ 25'!S14+'COMPETENCIA DEZ A JAN 25'!S14</f>
        <v>116696.89000000001</v>
      </c>
      <c r="J13" s="94">
        <f>'COMPETENCIA  OUT A NOV'!T14+'COMPETENCIA NOV A DEZ 25'!T14+'COMPETENCIA DEZ A JAN 25'!T14</f>
        <v>122396.89000000001</v>
      </c>
      <c r="K13" s="38">
        <f>'COMPETENCIA  OUT A NOV'!U14+'COMPETENCIA NOV A DEZ 25'!U14+'COMPETENCIA DEZ A JAN 25'!U14</f>
        <v>151262.45000000001</v>
      </c>
      <c r="L13" s="34">
        <f t="shared" si="0"/>
        <v>28865.559999999998</v>
      </c>
    </row>
    <row r="14" spans="1:12" x14ac:dyDescent="0.25">
      <c r="A14" s="5" t="s">
        <v>9</v>
      </c>
      <c r="B14" s="6">
        <f>'COMPETENCIA  OUT A NOV'!C15+'COMPETENCIA NOV A DEZ 25'!C15+'COMPETENCIA DEZ A JAN 25'!C15</f>
        <v>44348.240000000005</v>
      </c>
      <c r="C14" s="6">
        <f>'COMPETENCIA  OUT A NOV'!E15+'COMPETENCIA NOV A DEZ 25'!E15+'COMPETENCIA DEZ A JAN 25'!E15</f>
        <v>1800</v>
      </c>
      <c r="D14" s="8">
        <f>'COMPETENCIA  OUT A NOV'!G15+'COMPETENCIA NOV A DEZ 25'!G15+'COMPETENCIA DEZ A JAN 25'!G15</f>
        <v>61607.159999999996</v>
      </c>
      <c r="E14" s="8">
        <f>'COMPETENCIA  OUT A NOV'!I15+'COMPETENCIA NOV A DEZ 25'!I15+'COMPETENCIA DEZ A JAN 25'!I15</f>
        <v>2700</v>
      </c>
      <c r="F14" s="19">
        <f>'COMPETENCIA  OUT A NOV'!M15+'COMPETENCIA NOV A DEZ 25'!M15+'COMPETENCIA DEZ A JAN 25'!M15</f>
        <v>7698.35</v>
      </c>
      <c r="G14" s="19">
        <f>'COMPETENCIA  OUT A NOV'!O15+'COMPETENCIA NOV A DEZ 25'!O15+'COMPETENCIA DEZ A JAN 25'!O15</f>
        <v>300</v>
      </c>
      <c r="H14" s="30">
        <f>'COMPETENCIA  OUT A NOV'!Q15+'COMPETENCIA NOV A DEZ 25'!Q15+'COMPETENCIA DEZ A JAN 25'!Q15</f>
        <v>4800</v>
      </c>
      <c r="I14" s="29">
        <f>'COMPETENCIA  OUT A NOV'!S15+'COMPETENCIA NOV A DEZ 25'!S15+'COMPETENCIA DEZ A JAN 25'!S15</f>
        <v>113653.75000000001</v>
      </c>
      <c r="J14" s="94">
        <f>'COMPETENCIA  OUT A NOV'!T15+'COMPETENCIA NOV A DEZ 25'!T15+'COMPETENCIA DEZ A JAN 25'!T15</f>
        <v>118453.75000000001</v>
      </c>
      <c r="K14" s="38">
        <f>'COMPETENCIA  OUT A NOV'!U15+'COMPETENCIA NOV A DEZ 25'!U15+'COMPETENCIA DEZ A JAN 25'!U15</f>
        <v>118453.75</v>
      </c>
      <c r="L14" s="34">
        <f t="shared" si="0"/>
        <v>0</v>
      </c>
    </row>
    <row r="15" spans="1:12" x14ac:dyDescent="0.25">
      <c r="A15" s="5" t="s">
        <v>15</v>
      </c>
      <c r="B15" s="6">
        <f>'COMPETENCIA  OUT A NOV'!C16+'COMPETENCIA NOV A DEZ 25'!C16+'COMPETENCIA DEZ A JAN 25'!C16</f>
        <v>592704.02</v>
      </c>
      <c r="C15" s="6">
        <f>'COMPETENCIA  OUT A NOV'!E16+'COMPETENCIA NOV A DEZ 25'!E16+'COMPETENCIA DEZ A JAN 25'!E16</f>
        <v>22200</v>
      </c>
      <c r="D15" s="8">
        <f>'COMPETENCIA  OUT A NOV'!G16+'COMPETENCIA NOV A DEZ 25'!G16+'COMPETENCIA DEZ A JAN 25'!G16</f>
        <v>557188.30000000005</v>
      </c>
      <c r="E15" s="8">
        <f>'COMPETENCIA  OUT A NOV'!I16+'COMPETENCIA NOV A DEZ 25'!I16+'COMPETENCIA DEZ A JAN 25'!I16</f>
        <v>28200</v>
      </c>
      <c r="F15" s="19">
        <f>'COMPETENCIA  OUT A NOV'!M16+'COMPETENCIA NOV A DEZ 25'!M16+'COMPETENCIA DEZ A JAN 25'!M16</f>
        <v>144683.57</v>
      </c>
      <c r="G15" s="19">
        <f>'COMPETENCIA  OUT A NOV'!O16+'COMPETENCIA NOV A DEZ 25'!O16+'COMPETENCIA DEZ A JAN 25'!O16</f>
        <v>9000</v>
      </c>
      <c r="H15" s="30">
        <f>'COMPETENCIA  OUT A NOV'!Q16+'COMPETENCIA NOV A DEZ 25'!Q16+'COMPETENCIA DEZ A JAN 25'!Q16</f>
        <v>59400</v>
      </c>
      <c r="I15" s="29">
        <f>'COMPETENCIA  OUT A NOV'!S16+'COMPETENCIA NOV A DEZ 25'!S16+'COMPETENCIA DEZ A JAN 25'!S16</f>
        <v>1294575.8900000001</v>
      </c>
      <c r="J15" s="94">
        <f>'COMPETENCIA  OUT A NOV'!T16+'COMPETENCIA NOV A DEZ 25'!T16+'COMPETENCIA DEZ A JAN 25'!T16</f>
        <v>1353975.8900000001</v>
      </c>
      <c r="K15" s="38">
        <f>'COMPETENCIA  OUT A NOV'!U16+'COMPETENCIA NOV A DEZ 25'!U16+'COMPETENCIA DEZ A JAN 25'!U16</f>
        <v>1587481.76</v>
      </c>
      <c r="L15" s="34">
        <f>K15-J15</f>
        <v>233505.86999999988</v>
      </c>
    </row>
    <row r="17" spans="1:12" x14ac:dyDescent="0.25">
      <c r="A17" s="5" t="s">
        <v>22</v>
      </c>
      <c r="B17" s="2">
        <f>H15</f>
        <v>59400</v>
      </c>
      <c r="C17" s="39">
        <f>B17/B19*100</f>
        <v>4.3870795956344537</v>
      </c>
    </row>
    <row r="18" spans="1:12" x14ac:dyDescent="0.25">
      <c r="A18" s="5" t="s">
        <v>37</v>
      </c>
      <c r="B18" s="2">
        <f>I15</f>
        <v>1294575.8900000001</v>
      </c>
      <c r="C18" s="39">
        <f>B18/B19*100</f>
        <v>95.612920404365539</v>
      </c>
    </row>
    <row r="19" spans="1:12" x14ac:dyDescent="0.25">
      <c r="A19" s="5" t="s">
        <v>15</v>
      </c>
      <c r="B19" s="2">
        <f>SUM(B17:B18)</f>
        <v>1353975.8900000001</v>
      </c>
      <c r="C19">
        <f>SUM(C17:C18)</f>
        <v>100</v>
      </c>
      <c r="D19" s="35"/>
    </row>
    <row r="20" spans="1:12" x14ac:dyDescent="0.25">
      <c r="B20" s="35"/>
    </row>
    <row r="21" spans="1:12" x14ac:dyDescent="0.25">
      <c r="A21" s="104" t="s">
        <v>38</v>
      </c>
      <c r="B21" s="104"/>
      <c r="L21" s="98"/>
    </row>
    <row r="22" spans="1:12" x14ac:dyDescent="0.25">
      <c r="A22" s="100" t="s">
        <v>39</v>
      </c>
      <c r="B22" s="16">
        <f>J15</f>
        <v>1353975.8900000001</v>
      </c>
      <c r="C22" s="35"/>
      <c r="D22" s="35"/>
      <c r="L22" s="99"/>
    </row>
    <row r="23" spans="1:12" x14ac:dyDescent="0.25">
      <c r="A23" s="100" t="s">
        <v>40</v>
      </c>
      <c r="B23" s="16">
        <f>B24-B22</f>
        <v>646024.10999999987</v>
      </c>
    </row>
    <row r="24" spans="1:12" x14ac:dyDescent="0.25">
      <c r="A24" t="s">
        <v>26</v>
      </c>
      <c r="B24" s="35">
        <v>2000000</v>
      </c>
    </row>
    <row r="36" spans="2:4" x14ac:dyDescent="0.25">
      <c r="B36" t="s">
        <v>12</v>
      </c>
      <c r="C36" s="16">
        <f>B14</f>
        <v>44348.240000000005</v>
      </c>
      <c r="D36" s="16"/>
    </row>
    <row r="37" spans="2:4" x14ac:dyDescent="0.25">
      <c r="B37" t="s">
        <v>13</v>
      </c>
      <c r="C37" s="16">
        <f>D14</f>
        <v>61607.159999999996</v>
      </c>
      <c r="D37" s="16"/>
    </row>
    <row r="38" spans="2:4" x14ac:dyDescent="0.25">
      <c r="B38" t="s">
        <v>23</v>
      </c>
      <c r="C38" s="35" t="e">
        <f>#REF!</f>
        <v>#REF!</v>
      </c>
      <c r="D38" s="35"/>
    </row>
    <row r="39" spans="2:4" x14ac:dyDescent="0.25">
      <c r="B39" t="s">
        <v>24</v>
      </c>
      <c r="C39" s="16">
        <f>F14</f>
        <v>7698.35</v>
      </c>
      <c r="D39" s="16"/>
    </row>
  </sheetData>
  <mergeCells count="2">
    <mergeCell ref="A21:B21"/>
    <mergeCell ref="A1:L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62A69-99D1-47AF-8605-C5EA63162E6E}">
  <dimension ref="A1:AA24"/>
  <sheetViews>
    <sheetView tabSelected="1" topLeftCell="Q1" zoomScale="85" zoomScaleNormal="85" workbookViewId="0">
      <selection activeCell="T9" sqref="T9"/>
    </sheetView>
  </sheetViews>
  <sheetFormatPr defaultRowHeight="15" x14ac:dyDescent="0.25"/>
  <cols>
    <col min="1" max="1" width="13.7109375" customWidth="1"/>
    <col min="2" max="2" width="5.7109375" customWidth="1"/>
    <col min="3" max="3" width="16.140625" style="82" customWidth="1"/>
    <col min="4" max="4" width="7.85546875" customWidth="1"/>
    <col min="5" max="5" width="12.42578125" customWidth="1"/>
    <col min="6" max="6" width="9.140625" customWidth="1"/>
    <col min="7" max="7" width="12.7109375" style="82" customWidth="1"/>
    <col min="8" max="9" width="12.7109375" customWidth="1"/>
    <col min="10" max="10" width="7.42578125" hidden="1" customWidth="1"/>
    <col min="11" max="11" width="15" style="82" hidden="1" customWidth="1"/>
    <col min="12" max="12" width="10.5703125" customWidth="1"/>
    <col min="13" max="13" width="13.7109375" style="82" customWidth="1"/>
    <col min="14" max="16" width="12.42578125" customWidth="1"/>
    <col min="17" max="17" width="12.7109375" customWidth="1"/>
    <col min="18" max="18" width="9.140625" customWidth="1"/>
    <col min="19" max="20" width="14.42578125" customWidth="1"/>
    <col min="21" max="21" width="17.140625" customWidth="1"/>
    <col min="22" max="24" width="14.28515625" customWidth="1"/>
    <col min="25" max="26" width="13.42578125" customWidth="1"/>
    <col min="27" max="27" width="14.5703125" bestFit="1" customWidth="1"/>
    <col min="28" max="28" width="9.140625" customWidth="1"/>
  </cols>
  <sheetData>
    <row r="1" spans="1:27" x14ac:dyDescent="0.25">
      <c r="A1" s="105" t="s">
        <v>43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4"/>
      <c r="X1" s="4"/>
    </row>
    <row r="2" spans="1:27" ht="60" x14ac:dyDescent="0.25">
      <c r="A2" s="106" t="s">
        <v>10</v>
      </c>
      <c r="B2" s="115" t="s">
        <v>12</v>
      </c>
      <c r="C2" s="116"/>
      <c r="D2" s="116"/>
      <c r="E2" s="117"/>
      <c r="F2" s="109" t="s">
        <v>13</v>
      </c>
      <c r="G2" s="110"/>
      <c r="H2" s="110"/>
      <c r="I2" s="111"/>
      <c r="J2" s="118" t="s">
        <v>14</v>
      </c>
      <c r="K2" s="118"/>
      <c r="L2" s="112" t="s">
        <v>17</v>
      </c>
      <c r="M2" s="113"/>
      <c r="N2" s="113"/>
      <c r="O2" s="114"/>
      <c r="P2" s="119" t="s">
        <v>31</v>
      </c>
      <c r="Q2" s="120"/>
      <c r="R2" s="108" t="s">
        <v>29</v>
      </c>
      <c r="S2" s="108"/>
      <c r="T2" s="58" t="s">
        <v>30</v>
      </c>
      <c r="U2" s="88" t="s">
        <v>33</v>
      </c>
      <c r="V2" s="27" t="s">
        <v>20</v>
      </c>
      <c r="W2" s="27" t="s">
        <v>41</v>
      </c>
      <c r="X2" s="95" t="s">
        <v>35</v>
      </c>
      <c r="Y2" s="27" t="s">
        <v>32</v>
      </c>
    </row>
    <row r="3" spans="1:27" ht="45" x14ac:dyDescent="0.25">
      <c r="A3" s="107"/>
      <c r="B3" s="24" t="s">
        <v>18</v>
      </c>
      <c r="C3" s="74" t="s">
        <v>19</v>
      </c>
      <c r="D3" s="48" t="s">
        <v>28</v>
      </c>
      <c r="E3" s="48" t="s">
        <v>27</v>
      </c>
      <c r="F3" s="36" t="s">
        <v>18</v>
      </c>
      <c r="G3" s="76" t="s">
        <v>19</v>
      </c>
      <c r="H3" s="33" t="s">
        <v>28</v>
      </c>
      <c r="I3" s="33" t="s">
        <v>27</v>
      </c>
      <c r="J3" s="28" t="s">
        <v>18</v>
      </c>
      <c r="K3" s="78" t="s">
        <v>19</v>
      </c>
      <c r="L3" s="47" t="s">
        <v>18</v>
      </c>
      <c r="M3" s="77" t="s">
        <v>19</v>
      </c>
      <c r="N3" s="27" t="s">
        <v>28</v>
      </c>
      <c r="O3" s="27" t="s">
        <v>27</v>
      </c>
      <c r="P3" s="55" t="s">
        <v>28</v>
      </c>
      <c r="Q3" s="55" t="s">
        <v>27</v>
      </c>
      <c r="R3" s="25" t="s">
        <v>18</v>
      </c>
      <c r="S3" s="25" t="s">
        <v>19</v>
      </c>
      <c r="T3" s="58"/>
      <c r="U3" s="89" t="s">
        <v>19</v>
      </c>
      <c r="V3" s="66" t="s">
        <v>19</v>
      </c>
      <c r="W3" s="66" t="s">
        <v>19</v>
      </c>
      <c r="X3" s="96" t="s">
        <v>19</v>
      </c>
      <c r="Y3" s="27" t="s">
        <v>19</v>
      </c>
      <c r="AA3" s="63">
        <v>2024</v>
      </c>
    </row>
    <row r="4" spans="1:27" x14ac:dyDescent="0.25">
      <c r="A4" s="5"/>
      <c r="B4" s="40"/>
      <c r="C4" s="81"/>
      <c r="D4" s="50"/>
      <c r="E4" s="30"/>
      <c r="F4" s="51"/>
      <c r="G4" s="84"/>
      <c r="H4" s="7"/>
      <c r="I4" s="44"/>
      <c r="J4" s="9"/>
      <c r="K4" s="86"/>
      <c r="L4" s="18"/>
      <c r="M4" s="80"/>
      <c r="N4" s="18"/>
      <c r="O4" s="21"/>
      <c r="P4" s="56"/>
      <c r="Q4" s="53"/>
      <c r="R4" s="17"/>
      <c r="S4" s="10"/>
      <c r="T4" s="59"/>
      <c r="U4" s="90"/>
      <c r="V4" s="68"/>
      <c r="W4" s="68"/>
      <c r="X4" s="97"/>
      <c r="Y4" s="72"/>
      <c r="AA4" s="64">
        <v>212236.27</v>
      </c>
    </row>
    <row r="5" spans="1:27" x14ac:dyDescent="0.25">
      <c r="A5" s="5"/>
      <c r="B5" s="40"/>
      <c r="C5" s="75"/>
      <c r="D5" s="40"/>
      <c r="E5" s="75"/>
      <c r="F5" s="101"/>
      <c r="G5" s="102"/>
      <c r="H5" s="7"/>
      <c r="I5" s="44"/>
      <c r="J5" s="9"/>
      <c r="K5" s="86"/>
      <c r="L5" s="18"/>
      <c r="M5" s="80"/>
      <c r="N5" s="18"/>
      <c r="O5" s="21"/>
      <c r="P5" s="56"/>
      <c r="Q5" s="53"/>
      <c r="R5" s="17"/>
      <c r="S5" s="10"/>
      <c r="T5" s="59"/>
      <c r="U5" s="90"/>
      <c r="V5" s="68"/>
      <c r="W5" s="68"/>
      <c r="X5" s="97"/>
      <c r="Y5" s="72"/>
      <c r="AA5" s="64">
        <v>234150.72</v>
      </c>
    </row>
    <row r="6" spans="1:27" x14ac:dyDescent="0.25">
      <c r="A6" s="5"/>
      <c r="B6" s="40"/>
      <c r="C6" s="75"/>
      <c r="D6" s="40"/>
      <c r="E6" s="75"/>
      <c r="F6" s="51"/>
      <c r="G6" s="84"/>
      <c r="H6" s="7"/>
      <c r="I6" s="44"/>
      <c r="J6" s="9"/>
      <c r="K6" s="86"/>
      <c r="L6" s="18"/>
      <c r="M6" s="80"/>
      <c r="N6" s="18"/>
      <c r="O6" s="21"/>
      <c r="P6" s="56"/>
      <c r="Q6" s="53"/>
      <c r="R6" s="17"/>
      <c r="S6" s="10"/>
      <c r="T6" s="59"/>
      <c r="U6" s="90"/>
      <c r="V6" s="68"/>
      <c r="W6" s="68"/>
      <c r="X6" s="97"/>
      <c r="Y6" s="72"/>
      <c r="AA6" s="64">
        <v>134353.98000000001</v>
      </c>
    </row>
    <row r="7" spans="1:27" x14ac:dyDescent="0.25">
      <c r="A7" s="5"/>
      <c r="B7" s="40"/>
      <c r="C7" s="75"/>
      <c r="D7" s="40"/>
      <c r="E7" s="75"/>
      <c r="F7" s="51"/>
      <c r="G7" s="84"/>
      <c r="H7" s="7"/>
      <c r="I7" s="44"/>
      <c r="J7" s="9"/>
      <c r="K7" s="86"/>
      <c r="L7" s="18"/>
      <c r="M7" s="80"/>
      <c r="N7" s="18"/>
      <c r="O7" s="21"/>
      <c r="P7" s="56"/>
      <c r="Q7" s="53"/>
      <c r="R7" s="17"/>
      <c r="S7" s="10"/>
      <c r="T7" s="59"/>
      <c r="U7" s="90"/>
      <c r="V7" s="68"/>
      <c r="W7" s="68"/>
      <c r="X7" s="97"/>
      <c r="Y7" s="72"/>
      <c r="Z7" s="35"/>
      <c r="AA7" s="64">
        <v>200642.48</v>
      </c>
    </row>
    <row r="8" spans="1:27" x14ac:dyDescent="0.25">
      <c r="A8" s="5"/>
      <c r="B8" s="40"/>
      <c r="C8" s="75"/>
      <c r="D8" s="50"/>
      <c r="E8" s="31"/>
      <c r="F8" s="51"/>
      <c r="G8" s="84"/>
      <c r="H8" s="7"/>
      <c r="I8" s="44"/>
      <c r="J8" s="9"/>
      <c r="K8" s="86"/>
      <c r="L8" s="18"/>
      <c r="M8" s="80"/>
      <c r="N8" s="18"/>
      <c r="O8" s="21"/>
      <c r="P8" s="56"/>
      <c r="Q8" s="53"/>
      <c r="R8" s="17"/>
      <c r="S8" s="10"/>
      <c r="T8" s="59"/>
      <c r="U8" s="90"/>
      <c r="V8" s="68"/>
      <c r="W8" s="68"/>
      <c r="X8" s="97"/>
      <c r="Y8" s="72"/>
      <c r="AA8" s="64">
        <v>195487.97</v>
      </c>
    </row>
    <row r="9" spans="1:27" x14ac:dyDescent="0.25">
      <c r="A9" s="5"/>
      <c r="B9" s="40"/>
      <c r="C9" s="75"/>
      <c r="D9" s="50"/>
      <c r="E9" s="31"/>
      <c r="F9" s="51"/>
      <c r="G9" s="84"/>
      <c r="H9" s="7"/>
      <c r="I9" s="44"/>
      <c r="J9" s="9"/>
      <c r="K9" s="86"/>
      <c r="L9" s="18"/>
      <c r="M9" s="80"/>
      <c r="N9" s="18"/>
      <c r="O9" s="21"/>
      <c r="P9" s="56"/>
      <c r="Q9" s="53"/>
      <c r="R9" s="17"/>
      <c r="S9" s="10"/>
      <c r="T9" s="59"/>
      <c r="U9" s="90"/>
      <c r="V9" s="68"/>
      <c r="W9" s="68"/>
      <c r="X9" s="97"/>
      <c r="Y9" s="72"/>
      <c r="AA9" s="64">
        <v>227480.44</v>
      </c>
    </row>
    <row r="10" spans="1:27" x14ac:dyDescent="0.25">
      <c r="A10" s="5"/>
      <c r="B10" s="40"/>
      <c r="C10" s="75"/>
      <c r="D10" s="50"/>
      <c r="E10" s="31"/>
      <c r="F10" s="51"/>
      <c r="G10" s="84"/>
      <c r="H10" s="7"/>
      <c r="I10" s="44"/>
      <c r="J10" s="9"/>
      <c r="K10" s="86"/>
      <c r="L10" s="18"/>
      <c r="M10" s="80"/>
      <c r="N10" s="18"/>
      <c r="O10" s="21"/>
      <c r="P10" s="56"/>
      <c r="Q10" s="53"/>
      <c r="R10" s="17"/>
      <c r="S10" s="10"/>
      <c r="T10" s="59"/>
      <c r="U10" s="90"/>
      <c r="V10" s="68"/>
      <c r="W10" s="68"/>
      <c r="X10" s="97"/>
      <c r="Y10" s="72"/>
      <c r="AA10" s="64">
        <v>54155.17</v>
      </c>
    </row>
    <row r="11" spans="1:27" x14ac:dyDescent="0.25">
      <c r="A11" s="5"/>
      <c r="B11" s="40"/>
      <c r="C11" s="75"/>
      <c r="D11" s="50"/>
      <c r="E11" s="31"/>
      <c r="F11" s="51"/>
      <c r="G11" s="84"/>
      <c r="H11" s="7"/>
      <c r="I11" s="44"/>
      <c r="J11" s="9"/>
      <c r="K11" s="86"/>
      <c r="L11" s="18"/>
      <c r="M11" s="80"/>
      <c r="N11" s="18"/>
      <c r="O11" s="21"/>
      <c r="P11" s="56"/>
      <c r="Q11" s="53"/>
      <c r="R11" s="17"/>
      <c r="S11" s="10"/>
      <c r="T11" s="59"/>
      <c r="U11" s="90"/>
      <c r="V11" s="68"/>
      <c r="W11" s="68"/>
      <c r="X11" s="97"/>
      <c r="Y11" s="72"/>
      <c r="AA11" s="64">
        <v>279604.65999999997</v>
      </c>
    </row>
    <row r="12" spans="1:27" x14ac:dyDescent="0.25">
      <c r="A12" s="5"/>
      <c r="B12" s="40"/>
      <c r="C12" s="75"/>
      <c r="D12" s="50"/>
      <c r="E12" s="31"/>
      <c r="F12" s="51"/>
      <c r="G12" s="84"/>
      <c r="H12" s="51"/>
      <c r="I12" s="44"/>
      <c r="J12" s="9"/>
      <c r="K12" s="86"/>
      <c r="L12" s="18"/>
      <c r="M12" s="80"/>
      <c r="N12" s="18"/>
      <c r="O12" s="21"/>
      <c r="P12" s="56"/>
      <c r="Q12" s="53"/>
      <c r="R12" s="17"/>
      <c r="S12" s="10"/>
      <c r="T12" s="59"/>
      <c r="U12" s="90"/>
      <c r="V12" s="68"/>
      <c r="W12" s="68"/>
      <c r="X12" s="97"/>
      <c r="Y12" s="72"/>
      <c r="AA12" s="64">
        <v>0</v>
      </c>
    </row>
    <row r="13" spans="1:27" x14ac:dyDescent="0.25">
      <c r="A13" s="5"/>
      <c r="B13" s="40"/>
      <c r="C13" s="75"/>
      <c r="D13" s="50"/>
      <c r="E13" s="31"/>
      <c r="F13" s="51"/>
      <c r="G13" s="84"/>
      <c r="H13" s="7"/>
      <c r="I13" s="44"/>
      <c r="J13" s="9"/>
      <c r="K13" s="86"/>
      <c r="L13" s="18"/>
      <c r="M13" s="80"/>
      <c r="N13" s="18"/>
      <c r="O13" s="21"/>
      <c r="P13" s="56"/>
      <c r="Q13" s="53"/>
      <c r="R13" s="17"/>
      <c r="S13" s="10"/>
      <c r="T13" s="59"/>
      <c r="U13" s="90"/>
      <c r="V13" s="68"/>
      <c r="W13" s="68"/>
      <c r="X13" s="97"/>
      <c r="Y13" s="72"/>
      <c r="AA13" s="64">
        <v>214091.96</v>
      </c>
    </row>
    <row r="14" spans="1:27" x14ac:dyDescent="0.25">
      <c r="A14" s="5"/>
      <c r="B14" s="40"/>
      <c r="C14" s="75"/>
      <c r="D14" s="50"/>
      <c r="E14" s="31"/>
      <c r="F14" s="51"/>
      <c r="G14" s="84"/>
      <c r="H14" s="7"/>
      <c r="I14" s="44"/>
      <c r="J14" s="9"/>
      <c r="K14" s="86"/>
      <c r="L14" s="18"/>
      <c r="M14" s="80"/>
      <c r="N14" s="18"/>
      <c r="O14" s="21"/>
      <c r="P14" s="56"/>
      <c r="Q14" s="53"/>
      <c r="R14" s="17"/>
      <c r="S14" s="10"/>
      <c r="T14" s="59"/>
      <c r="U14" s="90"/>
      <c r="V14" s="68"/>
      <c r="W14" s="68"/>
      <c r="X14" s="97"/>
      <c r="Y14" s="103"/>
      <c r="Z14" s="35"/>
      <c r="AA14" s="64">
        <v>184393.59</v>
      </c>
    </row>
    <row r="15" spans="1:27" x14ac:dyDescent="0.25">
      <c r="A15" s="5"/>
      <c r="B15" s="40"/>
      <c r="C15" s="75"/>
      <c r="D15" s="50"/>
      <c r="E15" s="31"/>
      <c r="F15" s="51"/>
      <c r="G15" s="84"/>
      <c r="H15" s="7"/>
      <c r="I15" s="44"/>
      <c r="J15" s="9"/>
      <c r="K15" s="86"/>
      <c r="L15" s="18"/>
      <c r="M15" s="80"/>
      <c r="N15" s="18"/>
      <c r="O15" s="21"/>
      <c r="P15" s="56"/>
      <c r="Q15" s="53"/>
      <c r="R15" s="17"/>
      <c r="S15" s="10"/>
      <c r="T15" s="59"/>
      <c r="U15" s="90"/>
      <c r="V15" s="68"/>
      <c r="W15" s="68"/>
      <c r="X15" s="97"/>
      <c r="Y15" s="72"/>
      <c r="AA15" s="64">
        <v>106346.28</v>
      </c>
    </row>
    <row r="16" spans="1:27" x14ac:dyDescent="0.25">
      <c r="A16" s="5"/>
      <c r="B16" s="41"/>
      <c r="C16" s="79"/>
      <c r="D16" s="41"/>
      <c r="E16" s="79"/>
      <c r="F16" s="52"/>
      <c r="G16" s="83"/>
      <c r="H16" s="11"/>
      <c r="I16" s="14"/>
      <c r="J16" s="12"/>
      <c r="K16" s="87"/>
      <c r="L16" s="42"/>
      <c r="M16" s="85"/>
      <c r="N16" s="42"/>
      <c r="O16" s="62"/>
      <c r="P16" s="57"/>
      <c r="Q16" s="54"/>
      <c r="R16" s="22"/>
      <c r="S16" s="10"/>
      <c r="T16" s="59"/>
      <c r="U16" s="90"/>
      <c r="V16" s="67"/>
      <c r="W16" s="68"/>
      <c r="X16" s="97"/>
      <c r="Y16" s="72"/>
      <c r="AA16" s="65">
        <v>2042943.5199999996</v>
      </c>
    </row>
    <row r="17" spans="17:26" ht="28.5" customHeight="1" x14ac:dyDescent="0.25"/>
    <row r="18" spans="17:26" x14ac:dyDescent="0.25">
      <c r="U18" s="1"/>
      <c r="V18" s="1"/>
      <c r="W18" s="1"/>
    </row>
    <row r="19" spans="17:26" x14ac:dyDescent="0.25">
      <c r="U19" s="1"/>
      <c r="V19" s="1"/>
      <c r="W19" s="1"/>
    </row>
    <row r="20" spans="17:26" x14ac:dyDescent="0.25">
      <c r="U20" s="1"/>
      <c r="V20" s="1"/>
    </row>
    <row r="21" spans="17:26" x14ac:dyDescent="0.25">
      <c r="Q21" s="16"/>
    </row>
    <row r="22" spans="17:26" x14ac:dyDescent="0.25">
      <c r="U22" s="35"/>
      <c r="Y22" s="61"/>
      <c r="Z22" s="61"/>
    </row>
    <row r="23" spans="17:26" x14ac:dyDescent="0.25">
      <c r="R23" s="1"/>
      <c r="U23" s="35"/>
      <c r="V23" s="35"/>
      <c r="W23" s="35"/>
      <c r="X23" s="35"/>
    </row>
    <row r="24" spans="17:26" x14ac:dyDescent="0.25">
      <c r="R24" s="1"/>
      <c r="T24" s="1"/>
    </row>
  </sheetData>
  <mergeCells count="8">
    <mergeCell ref="A1:V1"/>
    <mergeCell ref="A2:A3"/>
    <mergeCell ref="B2:E2"/>
    <mergeCell ref="F2:I2"/>
    <mergeCell ref="J2:K2"/>
    <mergeCell ref="L2:O2"/>
    <mergeCell ref="P2:Q2"/>
    <mergeCell ref="R2:S2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9A4C5-4382-4605-B529-D029EAEEDB00}">
  <dimension ref="A1:AA24"/>
  <sheetViews>
    <sheetView topLeftCell="I1" zoomScale="85" zoomScaleNormal="85" workbookViewId="0">
      <selection activeCell="U8" sqref="U8"/>
    </sheetView>
  </sheetViews>
  <sheetFormatPr defaultRowHeight="15" x14ac:dyDescent="0.25"/>
  <cols>
    <col min="1" max="1" width="13.7109375" customWidth="1"/>
    <col min="2" max="2" width="5.7109375" customWidth="1"/>
    <col min="3" max="3" width="16.140625" style="82" customWidth="1"/>
    <col min="4" max="4" width="7.85546875" customWidth="1"/>
    <col min="5" max="5" width="12.42578125" customWidth="1"/>
    <col min="6" max="6" width="9.140625" customWidth="1"/>
    <col min="7" max="7" width="12.7109375" style="82" customWidth="1"/>
    <col min="8" max="9" width="12.7109375" customWidth="1"/>
    <col min="10" max="10" width="7.42578125" hidden="1" customWidth="1"/>
    <col min="11" max="11" width="15" style="82" hidden="1" customWidth="1"/>
    <col min="12" max="12" width="10.5703125" customWidth="1"/>
    <col min="13" max="13" width="13.7109375" style="82" customWidth="1"/>
    <col min="14" max="16" width="12.42578125" customWidth="1"/>
    <col min="17" max="17" width="12.7109375" customWidth="1"/>
    <col min="18" max="18" width="9.140625" customWidth="1"/>
    <col min="19" max="20" width="14.42578125" customWidth="1"/>
    <col min="21" max="21" width="17.140625" customWidth="1"/>
    <col min="22" max="24" width="14.28515625" customWidth="1"/>
    <col min="25" max="26" width="13.42578125" customWidth="1"/>
    <col min="27" max="27" width="14.5703125" bestFit="1" customWidth="1"/>
    <col min="28" max="28" width="9.140625" customWidth="1"/>
  </cols>
  <sheetData>
    <row r="1" spans="1:27" x14ac:dyDescent="0.25">
      <c r="A1" s="105" t="s">
        <v>42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4"/>
      <c r="X1" s="4"/>
    </row>
    <row r="2" spans="1:27" ht="60" x14ac:dyDescent="0.25">
      <c r="A2" s="106" t="s">
        <v>10</v>
      </c>
      <c r="B2" s="115" t="s">
        <v>12</v>
      </c>
      <c r="C2" s="116"/>
      <c r="D2" s="116"/>
      <c r="E2" s="117"/>
      <c r="F2" s="109" t="s">
        <v>13</v>
      </c>
      <c r="G2" s="110"/>
      <c r="H2" s="110"/>
      <c r="I2" s="111"/>
      <c r="J2" s="118" t="s">
        <v>14</v>
      </c>
      <c r="K2" s="118"/>
      <c r="L2" s="112" t="s">
        <v>17</v>
      </c>
      <c r="M2" s="113"/>
      <c r="N2" s="113"/>
      <c r="O2" s="114"/>
      <c r="P2" s="119" t="s">
        <v>31</v>
      </c>
      <c r="Q2" s="120"/>
      <c r="R2" s="108" t="s">
        <v>29</v>
      </c>
      <c r="S2" s="108"/>
      <c r="T2" s="58" t="s">
        <v>30</v>
      </c>
      <c r="U2" s="88" t="s">
        <v>33</v>
      </c>
      <c r="V2" s="27" t="s">
        <v>20</v>
      </c>
      <c r="W2" s="27" t="s">
        <v>41</v>
      </c>
      <c r="X2" s="95" t="s">
        <v>35</v>
      </c>
      <c r="Y2" s="27" t="s">
        <v>32</v>
      </c>
    </row>
    <row r="3" spans="1:27" ht="45" x14ac:dyDescent="0.25">
      <c r="A3" s="107"/>
      <c r="B3" s="24" t="s">
        <v>18</v>
      </c>
      <c r="C3" s="74" t="s">
        <v>19</v>
      </c>
      <c r="D3" s="48" t="s">
        <v>28</v>
      </c>
      <c r="E3" s="48" t="s">
        <v>27</v>
      </c>
      <c r="F3" s="36" t="s">
        <v>18</v>
      </c>
      <c r="G3" s="76" t="s">
        <v>19</v>
      </c>
      <c r="H3" s="33" t="s">
        <v>28</v>
      </c>
      <c r="I3" s="33" t="s">
        <v>27</v>
      </c>
      <c r="J3" s="28" t="s">
        <v>18</v>
      </c>
      <c r="K3" s="78" t="s">
        <v>19</v>
      </c>
      <c r="L3" s="47" t="s">
        <v>18</v>
      </c>
      <c r="M3" s="77" t="s">
        <v>19</v>
      </c>
      <c r="N3" s="27" t="s">
        <v>28</v>
      </c>
      <c r="O3" s="27" t="s">
        <v>27</v>
      </c>
      <c r="P3" s="55" t="s">
        <v>28</v>
      </c>
      <c r="Q3" s="55" t="s">
        <v>27</v>
      </c>
      <c r="R3" s="25" t="s">
        <v>18</v>
      </c>
      <c r="S3" s="25" t="s">
        <v>19</v>
      </c>
      <c r="T3" s="58"/>
      <c r="U3" s="89" t="s">
        <v>19</v>
      </c>
      <c r="V3" s="66" t="s">
        <v>19</v>
      </c>
      <c r="W3" s="66" t="s">
        <v>19</v>
      </c>
      <c r="X3" s="96" t="s">
        <v>19</v>
      </c>
      <c r="Y3" s="27" t="s">
        <v>19</v>
      </c>
      <c r="AA3" s="63">
        <v>2024</v>
      </c>
    </row>
    <row r="4" spans="1:27" x14ac:dyDescent="0.25">
      <c r="A4" s="5" t="s">
        <v>0</v>
      </c>
      <c r="B4" s="40">
        <v>7</v>
      </c>
      <c r="C4" s="81">
        <v>37482.980000000003</v>
      </c>
      <c r="D4" s="50">
        <v>4</v>
      </c>
      <c r="E4" s="30">
        <v>1200</v>
      </c>
      <c r="F4" s="51">
        <v>1</v>
      </c>
      <c r="G4" s="84">
        <v>7698.35</v>
      </c>
      <c r="H4" s="7">
        <v>1</v>
      </c>
      <c r="I4" s="44">
        <v>300</v>
      </c>
      <c r="J4" s="9"/>
      <c r="K4" s="86"/>
      <c r="L4" s="18">
        <v>0</v>
      </c>
      <c r="M4" s="80">
        <v>0</v>
      </c>
      <c r="N4" s="18">
        <v>0</v>
      </c>
      <c r="O4" s="21">
        <v>0</v>
      </c>
      <c r="P4" s="56">
        <f>D4+H4+N4</f>
        <v>5</v>
      </c>
      <c r="Q4" s="53">
        <f>E4+I4+O4</f>
        <v>1500</v>
      </c>
      <c r="R4" s="17">
        <f>B4+F4+L4</f>
        <v>8</v>
      </c>
      <c r="S4" s="10">
        <f>C4+G4+M4</f>
        <v>45181.33</v>
      </c>
      <c r="T4" s="59">
        <f>Q4+S4</f>
        <v>46681.33</v>
      </c>
      <c r="U4" s="90">
        <f>55464.7-8381.61</f>
        <v>47083.09</v>
      </c>
      <c r="V4" s="68">
        <f>'COMPETENCIA  OUT A NOV'!V4</f>
        <v>29598.239999999991</v>
      </c>
      <c r="W4" s="68">
        <f>U4+V4</f>
        <v>76681.329999999987</v>
      </c>
      <c r="X4" s="97">
        <f>W4-T4</f>
        <v>29999.999999999985</v>
      </c>
      <c r="Y4" s="72"/>
      <c r="AA4" s="64">
        <v>212236.27</v>
      </c>
    </row>
    <row r="5" spans="1:27" x14ac:dyDescent="0.25">
      <c r="A5" s="5" t="s">
        <v>1</v>
      </c>
      <c r="B5" s="40">
        <v>0</v>
      </c>
      <c r="C5" s="75">
        <v>0</v>
      </c>
      <c r="D5" s="40">
        <v>0</v>
      </c>
      <c r="E5" s="75">
        <v>0</v>
      </c>
      <c r="F5" s="101">
        <v>8</v>
      </c>
      <c r="G5" s="102">
        <v>58630.78</v>
      </c>
      <c r="H5" s="7">
        <v>4</v>
      </c>
      <c r="I5" s="44">
        <v>1200</v>
      </c>
      <c r="J5" s="9"/>
      <c r="K5" s="86"/>
      <c r="L5" s="18">
        <v>0</v>
      </c>
      <c r="M5" s="80">
        <v>0</v>
      </c>
      <c r="N5" s="18">
        <v>0</v>
      </c>
      <c r="O5" s="21">
        <v>0</v>
      </c>
      <c r="P5" s="56">
        <f t="shared" ref="P5:Q15" si="0">D5+H5+N5</f>
        <v>4</v>
      </c>
      <c r="Q5" s="53">
        <f t="shared" si="0"/>
        <v>1200</v>
      </c>
      <c r="R5" s="17">
        <f t="shared" ref="R5:S15" si="1">B5+F5+L5</f>
        <v>8</v>
      </c>
      <c r="S5" s="10">
        <f t="shared" si="1"/>
        <v>58630.78</v>
      </c>
      <c r="T5" s="59">
        <f t="shared" ref="T5:T15" si="2">Q5+S5</f>
        <v>59830.78</v>
      </c>
      <c r="U5" s="90">
        <f>11766.41+7529.13</f>
        <v>19295.54</v>
      </c>
      <c r="V5" s="68">
        <f>'COMPETENCIA  OUT A NOV'!V5</f>
        <v>40535.24</v>
      </c>
      <c r="W5" s="68">
        <f t="shared" ref="W4:W16" si="3">U5+V5</f>
        <v>59830.78</v>
      </c>
      <c r="X5" s="97">
        <f t="shared" ref="X5:X15" si="4">W5-T5</f>
        <v>0</v>
      </c>
      <c r="Y5" s="72"/>
      <c r="AA5" s="64">
        <v>234150.72</v>
      </c>
    </row>
    <row r="6" spans="1:27" x14ac:dyDescent="0.25">
      <c r="A6" s="5" t="s">
        <v>2</v>
      </c>
      <c r="B6" s="40">
        <v>0</v>
      </c>
      <c r="C6" s="75">
        <v>0</v>
      </c>
      <c r="D6" s="40">
        <v>0</v>
      </c>
      <c r="E6" s="75">
        <v>0</v>
      </c>
      <c r="F6" s="51">
        <v>1</v>
      </c>
      <c r="G6" s="84">
        <v>7698.35</v>
      </c>
      <c r="H6" s="7">
        <v>1</v>
      </c>
      <c r="I6" s="44">
        <v>300</v>
      </c>
      <c r="J6" s="9"/>
      <c r="K6" s="86"/>
      <c r="L6" s="18">
        <v>4</v>
      </c>
      <c r="M6" s="80">
        <v>27439.71</v>
      </c>
      <c r="N6" s="18">
        <v>5</v>
      </c>
      <c r="O6" s="21">
        <v>1500</v>
      </c>
      <c r="P6" s="56">
        <f t="shared" si="0"/>
        <v>6</v>
      </c>
      <c r="Q6" s="53">
        <f t="shared" si="0"/>
        <v>1800</v>
      </c>
      <c r="R6" s="17">
        <f t="shared" si="1"/>
        <v>5</v>
      </c>
      <c r="S6" s="10">
        <f t="shared" si="1"/>
        <v>35138.06</v>
      </c>
      <c r="T6" s="59">
        <f t="shared" si="2"/>
        <v>36938.06</v>
      </c>
      <c r="U6" s="90">
        <v>0</v>
      </c>
      <c r="V6" s="68">
        <f>'COMPETENCIA  OUT A NOV'!V6</f>
        <v>69000</v>
      </c>
      <c r="W6" s="68">
        <f t="shared" si="3"/>
        <v>69000</v>
      </c>
      <c r="X6" s="97">
        <f t="shared" si="4"/>
        <v>32061.940000000002</v>
      </c>
      <c r="Y6" s="72"/>
      <c r="AA6" s="64">
        <v>134353.98000000001</v>
      </c>
    </row>
    <row r="7" spans="1:27" x14ac:dyDescent="0.25">
      <c r="A7" s="5" t="s">
        <v>3</v>
      </c>
      <c r="B7" s="40">
        <v>0</v>
      </c>
      <c r="C7" s="75">
        <v>0</v>
      </c>
      <c r="D7" s="40">
        <v>0</v>
      </c>
      <c r="E7" s="75">
        <v>0</v>
      </c>
      <c r="F7" s="51">
        <v>5</v>
      </c>
      <c r="G7" s="84">
        <v>36123.4</v>
      </c>
      <c r="H7" s="7">
        <v>5</v>
      </c>
      <c r="I7" s="44">
        <v>1500</v>
      </c>
      <c r="J7" s="9"/>
      <c r="K7" s="86"/>
      <c r="L7" s="18">
        <v>2</v>
      </c>
      <c r="M7" s="80">
        <v>13028.35</v>
      </c>
      <c r="N7" s="18">
        <v>2</v>
      </c>
      <c r="O7" s="21">
        <v>600</v>
      </c>
      <c r="P7" s="56">
        <f t="shared" si="0"/>
        <v>7</v>
      </c>
      <c r="Q7" s="53">
        <f t="shared" si="0"/>
        <v>2100</v>
      </c>
      <c r="R7" s="17">
        <f t="shared" si="1"/>
        <v>7</v>
      </c>
      <c r="S7" s="10">
        <f t="shared" si="1"/>
        <v>49151.75</v>
      </c>
      <c r="T7" s="59">
        <f t="shared" si="2"/>
        <v>51251.75</v>
      </c>
      <c r="U7" s="90">
        <v>34856.019999999997</v>
      </c>
      <c r="V7" s="68">
        <v>35143.980000000003</v>
      </c>
      <c r="W7" s="68">
        <f t="shared" si="3"/>
        <v>70000</v>
      </c>
      <c r="X7" s="97">
        <f t="shared" si="4"/>
        <v>18748.25</v>
      </c>
      <c r="Y7" s="72"/>
      <c r="Z7" s="35"/>
      <c r="AA7" s="64">
        <v>200642.48</v>
      </c>
    </row>
    <row r="8" spans="1:27" x14ac:dyDescent="0.25">
      <c r="A8" s="5" t="s">
        <v>4</v>
      </c>
      <c r="B8" s="40">
        <v>3</v>
      </c>
      <c r="C8" s="75">
        <v>15937.06</v>
      </c>
      <c r="D8" s="50">
        <v>1</v>
      </c>
      <c r="E8" s="31">
        <v>300</v>
      </c>
      <c r="F8" s="51">
        <v>3</v>
      </c>
      <c r="G8" s="84">
        <v>15324.12</v>
      </c>
      <c r="H8" s="7">
        <v>1</v>
      </c>
      <c r="I8" s="44">
        <v>300</v>
      </c>
      <c r="J8" s="9"/>
      <c r="K8" s="86"/>
      <c r="L8" s="18">
        <v>1</v>
      </c>
      <c r="M8" s="80">
        <v>5330</v>
      </c>
      <c r="N8" s="18">
        <v>1</v>
      </c>
      <c r="O8" s="21">
        <v>300</v>
      </c>
      <c r="P8" s="56">
        <f t="shared" si="0"/>
        <v>3</v>
      </c>
      <c r="Q8" s="53">
        <f t="shared" si="0"/>
        <v>900</v>
      </c>
      <c r="R8" s="17">
        <f t="shared" si="1"/>
        <v>7</v>
      </c>
      <c r="S8" s="10">
        <f>C8+G8+M8</f>
        <v>36591.18</v>
      </c>
      <c r="T8" s="59">
        <f t="shared" si="2"/>
        <v>37491.18</v>
      </c>
      <c r="U8" s="90">
        <v>26165.39</v>
      </c>
      <c r="V8" s="68">
        <f>'COMPETENCIA  OUT A NOV'!V8</f>
        <v>35589.56</v>
      </c>
      <c r="W8" s="68">
        <f>U8+V8</f>
        <v>61754.95</v>
      </c>
      <c r="X8" s="97">
        <f>W8-T8</f>
        <v>24263.769999999997</v>
      </c>
      <c r="Y8" s="72"/>
      <c r="AA8" s="64">
        <v>195487.97</v>
      </c>
    </row>
    <row r="9" spans="1:27" x14ac:dyDescent="0.25">
      <c r="A9" s="5" t="s">
        <v>6</v>
      </c>
      <c r="B9" s="40">
        <v>8</v>
      </c>
      <c r="C9" s="75">
        <v>47253.7</v>
      </c>
      <c r="D9" s="50">
        <v>4</v>
      </c>
      <c r="E9" s="31">
        <v>1200</v>
      </c>
      <c r="F9" s="51">
        <v>3</v>
      </c>
      <c r="G9" s="84">
        <v>20633.759999999998</v>
      </c>
      <c r="H9" s="7">
        <v>3</v>
      </c>
      <c r="I9" s="44">
        <v>900</v>
      </c>
      <c r="J9" s="9"/>
      <c r="K9" s="86"/>
      <c r="L9" s="18">
        <v>1</v>
      </c>
      <c r="M9" s="80">
        <v>7698.35</v>
      </c>
      <c r="N9" s="18">
        <v>2</v>
      </c>
      <c r="O9" s="21">
        <v>600</v>
      </c>
      <c r="P9" s="56">
        <f t="shared" si="0"/>
        <v>9</v>
      </c>
      <c r="Q9" s="53">
        <f t="shared" si="0"/>
        <v>2700</v>
      </c>
      <c r="R9" s="17">
        <f t="shared" si="1"/>
        <v>12</v>
      </c>
      <c r="S9" s="10">
        <f t="shared" si="1"/>
        <v>75585.81</v>
      </c>
      <c r="T9" s="59">
        <f t="shared" si="2"/>
        <v>78285.81</v>
      </c>
      <c r="U9" s="90">
        <v>90000</v>
      </c>
      <c r="V9" s="68">
        <f>'COMPETENCIA  OUT A NOV'!V9</f>
        <v>5930.0000000000146</v>
      </c>
      <c r="W9" s="68">
        <f t="shared" si="3"/>
        <v>95930.000000000015</v>
      </c>
      <c r="X9" s="97">
        <f t="shared" si="4"/>
        <v>17644.190000000017</v>
      </c>
      <c r="Y9" s="72"/>
      <c r="AA9" s="64">
        <v>227480.44</v>
      </c>
    </row>
    <row r="10" spans="1:27" x14ac:dyDescent="0.25">
      <c r="A10" s="5" t="s">
        <v>11</v>
      </c>
      <c r="B10" s="40">
        <v>0</v>
      </c>
      <c r="C10" s="75">
        <v>0</v>
      </c>
      <c r="D10" s="50">
        <v>0</v>
      </c>
      <c r="E10" s="31">
        <v>0</v>
      </c>
      <c r="F10" s="51">
        <v>0</v>
      </c>
      <c r="G10" s="84">
        <v>0</v>
      </c>
      <c r="H10" s="7">
        <v>0</v>
      </c>
      <c r="I10" s="44">
        <v>0</v>
      </c>
      <c r="J10" s="9"/>
      <c r="K10" s="86"/>
      <c r="L10" s="18">
        <v>0</v>
      </c>
      <c r="M10" s="80">
        <v>0</v>
      </c>
      <c r="N10" s="18">
        <v>0</v>
      </c>
      <c r="O10" s="21">
        <v>0</v>
      </c>
      <c r="P10" s="56">
        <f t="shared" si="0"/>
        <v>0</v>
      </c>
      <c r="Q10" s="53">
        <f t="shared" si="0"/>
        <v>0</v>
      </c>
      <c r="R10" s="17">
        <f t="shared" si="1"/>
        <v>0</v>
      </c>
      <c r="S10" s="10">
        <f t="shared" si="1"/>
        <v>0</v>
      </c>
      <c r="T10" s="59">
        <f t="shared" si="2"/>
        <v>0</v>
      </c>
      <c r="U10" s="90">
        <f>-39100</f>
        <v>-39100</v>
      </c>
      <c r="V10" s="68">
        <f>'COMPETENCIA  OUT A NOV'!V10</f>
        <v>69100</v>
      </c>
      <c r="W10" s="68">
        <f>U10+V10</f>
        <v>30000</v>
      </c>
      <c r="X10" s="97">
        <f t="shared" si="4"/>
        <v>30000</v>
      </c>
      <c r="Y10" s="72"/>
      <c r="AA10" s="64">
        <v>54155.17</v>
      </c>
    </row>
    <row r="11" spans="1:27" x14ac:dyDescent="0.25">
      <c r="A11" s="5" t="s">
        <v>5</v>
      </c>
      <c r="B11" s="40">
        <v>17</v>
      </c>
      <c r="C11" s="75">
        <v>90933.54</v>
      </c>
      <c r="D11" s="50">
        <v>14</v>
      </c>
      <c r="E11" s="31">
        <v>4200</v>
      </c>
      <c r="F11" s="51">
        <v>2</v>
      </c>
      <c r="G11" s="84">
        <v>11087.06</v>
      </c>
      <c r="H11" s="7">
        <v>3</v>
      </c>
      <c r="I11" s="44">
        <v>900</v>
      </c>
      <c r="J11" s="9"/>
      <c r="K11" s="86"/>
      <c r="L11" s="18">
        <v>0</v>
      </c>
      <c r="M11" s="80">
        <v>0</v>
      </c>
      <c r="N11" s="18">
        <v>0</v>
      </c>
      <c r="O11" s="21">
        <v>0</v>
      </c>
      <c r="P11" s="56">
        <f t="shared" si="0"/>
        <v>17</v>
      </c>
      <c r="Q11" s="53">
        <f t="shared" si="0"/>
        <v>5100</v>
      </c>
      <c r="R11" s="17">
        <f t="shared" si="1"/>
        <v>19</v>
      </c>
      <c r="S11" s="10">
        <f t="shared" si="1"/>
        <v>102020.59999999999</v>
      </c>
      <c r="T11" s="59">
        <f t="shared" si="2"/>
        <v>107120.59999999999</v>
      </c>
      <c r="U11" s="90">
        <f>87956.99+21181.78+246.6</f>
        <v>109385.37000000001</v>
      </c>
      <c r="V11" s="68">
        <f>'COMPETENCIA  OUT A NOV'!V11</f>
        <v>12043.010000000009</v>
      </c>
      <c r="W11" s="68">
        <f t="shared" si="3"/>
        <v>121428.38000000002</v>
      </c>
      <c r="X11" s="97">
        <f t="shared" si="4"/>
        <v>14307.780000000028</v>
      </c>
      <c r="Y11" s="72"/>
      <c r="AA11" s="64">
        <v>279604.65999999997</v>
      </c>
    </row>
    <row r="12" spans="1:27" x14ac:dyDescent="0.25">
      <c r="A12" s="5" t="s">
        <v>25</v>
      </c>
      <c r="B12" s="40">
        <v>0</v>
      </c>
      <c r="C12" s="75">
        <v>0</v>
      </c>
      <c r="D12" s="50">
        <v>0</v>
      </c>
      <c r="E12" s="31">
        <v>0</v>
      </c>
      <c r="F12" s="51">
        <v>4</v>
      </c>
      <c r="G12" s="84">
        <v>30793.4</v>
      </c>
      <c r="H12" s="51">
        <v>3</v>
      </c>
      <c r="I12" s="44">
        <v>900</v>
      </c>
      <c r="J12" s="9"/>
      <c r="K12" s="86"/>
      <c r="L12" s="18">
        <v>0</v>
      </c>
      <c r="M12" s="80">
        <v>0</v>
      </c>
      <c r="N12" s="18">
        <v>0</v>
      </c>
      <c r="O12" s="21">
        <v>0</v>
      </c>
      <c r="P12" s="56">
        <f t="shared" si="0"/>
        <v>3</v>
      </c>
      <c r="Q12" s="53">
        <f t="shared" si="0"/>
        <v>900</v>
      </c>
      <c r="R12" s="17">
        <f t="shared" si="1"/>
        <v>4</v>
      </c>
      <c r="S12" s="10">
        <f t="shared" si="1"/>
        <v>30793.4</v>
      </c>
      <c r="T12" s="59">
        <f t="shared" si="2"/>
        <v>31693.4</v>
      </c>
      <c r="U12" s="90">
        <v>12904.95</v>
      </c>
      <c r="V12" s="68">
        <f>'COMPETENCIA  OUT A NOV'!V12</f>
        <v>23095.05</v>
      </c>
      <c r="W12" s="68">
        <f t="shared" si="3"/>
        <v>36000</v>
      </c>
      <c r="X12" s="97">
        <f t="shared" si="4"/>
        <v>4306.5999999999985</v>
      </c>
      <c r="Y12" s="72"/>
      <c r="AA12" s="64">
        <v>0</v>
      </c>
    </row>
    <row r="13" spans="1:27" x14ac:dyDescent="0.25">
      <c r="A13" s="5" t="s">
        <v>7</v>
      </c>
      <c r="B13" s="40">
        <v>4</v>
      </c>
      <c r="C13" s="75">
        <v>19400</v>
      </c>
      <c r="D13" s="50">
        <v>4</v>
      </c>
      <c r="E13" s="31">
        <v>1200</v>
      </c>
      <c r="F13" s="51">
        <v>2</v>
      </c>
      <c r="G13" s="84">
        <v>10700</v>
      </c>
      <c r="H13" s="7">
        <v>5</v>
      </c>
      <c r="I13" s="44">
        <v>1500</v>
      </c>
      <c r="J13" s="9"/>
      <c r="K13" s="86"/>
      <c r="L13" s="18">
        <v>3</v>
      </c>
      <c r="M13" s="80">
        <v>20726.7</v>
      </c>
      <c r="N13" s="18">
        <v>3</v>
      </c>
      <c r="O13" s="21">
        <v>900</v>
      </c>
      <c r="P13" s="56">
        <f t="shared" si="0"/>
        <v>12</v>
      </c>
      <c r="Q13" s="53">
        <f t="shared" si="0"/>
        <v>3600</v>
      </c>
      <c r="R13" s="17">
        <f t="shared" si="1"/>
        <v>9</v>
      </c>
      <c r="S13" s="10">
        <f t="shared" si="1"/>
        <v>50826.7</v>
      </c>
      <c r="T13" s="59">
        <f t="shared" si="2"/>
        <v>54426.7</v>
      </c>
      <c r="U13" s="90">
        <f>23387.06+124.12+13634.48</f>
        <v>37145.660000000003</v>
      </c>
      <c r="V13" s="68">
        <f>'COMPETENCIA  OUT A NOV'!V13</f>
        <v>50588.820000000007</v>
      </c>
      <c r="W13" s="68">
        <f t="shared" si="3"/>
        <v>87734.48000000001</v>
      </c>
      <c r="X13" s="97">
        <f t="shared" si="4"/>
        <v>33307.780000000013</v>
      </c>
      <c r="Y13" s="72"/>
      <c r="AA13" s="64">
        <v>214091.96</v>
      </c>
    </row>
    <row r="14" spans="1:27" x14ac:dyDescent="0.25">
      <c r="A14" s="5" t="s">
        <v>8</v>
      </c>
      <c r="B14" s="40">
        <v>7</v>
      </c>
      <c r="C14" s="75">
        <v>34724.120000000003</v>
      </c>
      <c r="D14" s="50">
        <v>6</v>
      </c>
      <c r="E14" s="31">
        <v>1800</v>
      </c>
      <c r="F14" s="51">
        <v>2</v>
      </c>
      <c r="G14" s="84">
        <v>12007.78</v>
      </c>
      <c r="H14" s="7">
        <v>0</v>
      </c>
      <c r="I14" s="44">
        <v>0</v>
      </c>
      <c r="J14" s="9"/>
      <c r="K14" s="86"/>
      <c r="L14" s="18">
        <v>0</v>
      </c>
      <c r="M14" s="80">
        <v>0</v>
      </c>
      <c r="N14" s="18">
        <v>0</v>
      </c>
      <c r="O14" s="21">
        <v>0</v>
      </c>
      <c r="P14" s="56">
        <f t="shared" si="0"/>
        <v>6</v>
      </c>
      <c r="Q14" s="53">
        <f t="shared" si="0"/>
        <v>1800</v>
      </c>
      <c r="R14" s="17">
        <f t="shared" si="1"/>
        <v>9</v>
      </c>
      <c r="S14" s="10">
        <f t="shared" si="1"/>
        <v>46731.9</v>
      </c>
      <c r="T14" s="59">
        <f t="shared" si="2"/>
        <v>48531.9</v>
      </c>
      <c r="U14" s="90">
        <f>45458.86+2797.46</f>
        <v>48256.32</v>
      </c>
      <c r="V14" s="68">
        <f>'COMPETENCIA  OUT A NOV'!V14</f>
        <v>29141.14</v>
      </c>
      <c r="W14" s="68">
        <f t="shared" si="3"/>
        <v>77397.459999999992</v>
      </c>
      <c r="X14" s="97">
        <f t="shared" si="4"/>
        <v>28865.55999999999</v>
      </c>
      <c r="Y14" s="73"/>
      <c r="Z14" s="35"/>
      <c r="AA14" s="64">
        <v>184393.59</v>
      </c>
    </row>
    <row r="15" spans="1:27" x14ac:dyDescent="0.25">
      <c r="A15" s="5" t="s">
        <v>9</v>
      </c>
      <c r="B15" s="40">
        <v>2</v>
      </c>
      <c r="C15" s="75">
        <v>11700</v>
      </c>
      <c r="D15" s="50">
        <v>2</v>
      </c>
      <c r="E15" s="31">
        <v>600</v>
      </c>
      <c r="F15" s="51">
        <v>8</v>
      </c>
      <c r="G15" s="84">
        <v>56370.1</v>
      </c>
      <c r="H15" s="7">
        <v>8</v>
      </c>
      <c r="I15" s="44">
        <v>2400</v>
      </c>
      <c r="J15" s="9"/>
      <c r="K15" s="86"/>
      <c r="L15" s="18">
        <v>1</v>
      </c>
      <c r="M15" s="80">
        <v>7698.35</v>
      </c>
      <c r="N15" s="18">
        <v>1</v>
      </c>
      <c r="O15" s="21">
        <v>300</v>
      </c>
      <c r="P15" s="56">
        <f t="shared" si="0"/>
        <v>11</v>
      </c>
      <c r="Q15" s="53">
        <f t="shared" si="0"/>
        <v>3300</v>
      </c>
      <c r="R15" s="17">
        <f t="shared" si="1"/>
        <v>11</v>
      </c>
      <c r="S15" s="10">
        <f t="shared" si="1"/>
        <v>75768.450000000012</v>
      </c>
      <c r="T15" s="59">
        <f t="shared" si="2"/>
        <v>79068.450000000012</v>
      </c>
      <c r="U15" s="90">
        <f>66235.3+1346.41+872.04</f>
        <v>68453.75</v>
      </c>
      <c r="V15" s="68">
        <f>'COMPETENCIA  OUT A NOV'!V15</f>
        <v>10614.699999999997</v>
      </c>
      <c r="W15" s="68">
        <f t="shared" si="3"/>
        <v>79068.45</v>
      </c>
      <c r="X15" s="97">
        <f t="shared" si="4"/>
        <v>0</v>
      </c>
      <c r="Y15" s="72"/>
      <c r="AA15" s="64">
        <v>106346.28</v>
      </c>
    </row>
    <row r="16" spans="1:27" x14ac:dyDescent="0.25">
      <c r="A16" s="5" t="s">
        <v>15</v>
      </c>
      <c r="B16" s="41">
        <f>SUM(B4:B15)</f>
        <v>48</v>
      </c>
      <c r="C16" s="79">
        <f t="shared" ref="C16:E16" si="5">SUM(C4:C15)</f>
        <v>257431.39999999997</v>
      </c>
      <c r="D16" s="41">
        <f t="shared" si="5"/>
        <v>35</v>
      </c>
      <c r="E16" s="79">
        <f t="shared" si="5"/>
        <v>10500</v>
      </c>
      <c r="F16" s="52">
        <f>SUM(F4:F15)</f>
        <v>39</v>
      </c>
      <c r="G16" s="83">
        <f>SUM(G4:G15)</f>
        <v>267067.09999999998</v>
      </c>
      <c r="H16" s="11">
        <f>SUM(H4:H15)</f>
        <v>34</v>
      </c>
      <c r="I16" s="14">
        <f>SUM(I4:I15)</f>
        <v>10200</v>
      </c>
      <c r="J16" s="12"/>
      <c r="K16" s="87"/>
      <c r="L16" s="42">
        <f t="shared" ref="L16:T16" si="6">SUM(L4:L15)</f>
        <v>12</v>
      </c>
      <c r="M16" s="85">
        <f t="shared" si="6"/>
        <v>81921.460000000006</v>
      </c>
      <c r="N16" s="42">
        <f t="shared" si="6"/>
        <v>14</v>
      </c>
      <c r="O16" s="62">
        <f>SUM(O4:O15)</f>
        <v>4200</v>
      </c>
      <c r="P16" s="57">
        <f t="shared" si="6"/>
        <v>83</v>
      </c>
      <c r="Q16" s="54">
        <f t="shared" si="6"/>
        <v>24900</v>
      </c>
      <c r="R16" s="22">
        <f t="shared" si="6"/>
        <v>99</v>
      </c>
      <c r="S16" s="10">
        <f t="shared" si="6"/>
        <v>606419.96</v>
      </c>
      <c r="T16" s="59">
        <f t="shared" si="6"/>
        <v>631319.96</v>
      </c>
      <c r="U16" s="90">
        <f>SUM(U4:U15)</f>
        <v>454446.09</v>
      </c>
      <c r="V16" s="67">
        <f>SUM(V4:V15)</f>
        <v>410379.74000000005</v>
      </c>
      <c r="W16" s="68">
        <f t="shared" si="3"/>
        <v>864825.83000000007</v>
      </c>
      <c r="X16" s="97">
        <f>W16-T16</f>
        <v>233505.87000000011</v>
      </c>
      <c r="Y16" s="72">
        <f>SUM(Y4:Y15)</f>
        <v>0</v>
      </c>
      <c r="AA16" s="65">
        <v>2042943.5199999996</v>
      </c>
    </row>
    <row r="17" spans="17:26" ht="28.5" customHeight="1" x14ac:dyDescent="0.25"/>
    <row r="18" spans="17:26" x14ac:dyDescent="0.25">
      <c r="U18" s="1"/>
      <c r="V18" s="1"/>
      <c r="W18" s="1"/>
    </row>
    <row r="19" spans="17:26" x14ac:dyDescent="0.25">
      <c r="U19" s="1"/>
      <c r="V19" s="1"/>
      <c r="W19" s="1"/>
    </row>
    <row r="20" spans="17:26" x14ac:dyDescent="0.25">
      <c r="U20" s="1"/>
      <c r="V20" s="1"/>
    </row>
    <row r="21" spans="17:26" x14ac:dyDescent="0.25">
      <c r="Q21" s="16"/>
    </row>
    <row r="22" spans="17:26" x14ac:dyDescent="0.25">
      <c r="U22" s="35"/>
      <c r="Y22" s="61"/>
      <c r="Z22" s="61"/>
    </row>
    <row r="23" spans="17:26" x14ac:dyDescent="0.25">
      <c r="R23" s="1"/>
      <c r="U23" s="35"/>
      <c r="V23" s="35"/>
      <c r="W23" s="35"/>
      <c r="X23" s="35"/>
    </row>
    <row r="24" spans="17:26" x14ac:dyDescent="0.25">
      <c r="R24" s="1"/>
      <c r="T24" s="1"/>
    </row>
  </sheetData>
  <mergeCells count="8">
    <mergeCell ref="A1:V1"/>
    <mergeCell ref="A2:A3"/>
    <mergeCell ref="B2:E2"/>
    <mergeCell ref="F2:I2"/>
    <mergeCell ref="J2:K2"/>
    <mergeCell ref="L2:O2"/>
    <mergeCell ref="P2:Q2"/>
    <mergeCell ref="R2:S2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00C4D-2B7E-49B3-A365-F42F606491E2}">
  <dimension ref="A1:X23"/>
  <sheetViews>
    <sheetView topLeftCell="F1" zoomScale="85" zoomScaleNormal="85" workbookViewId="0">
      <selection activeCell="V4" sqref="V4:V15"/>
    </sheetView>
  </sheetViews>
  <sheetFormatPr defaultRowHeight="15" x14ac:dyDescent="0.25"/>
  <cols>
    <col min="1" max="1" width="13.7109375" customWidth="1"/>
    <col min="2" max="2" width="5.7109375" customWidth="1"/>
    <col min="3" max="3" width="16.140625" customWidth="1"/>
    <col min="4" max="4" width="7.85546875" customWidth="1"/>
    <col min="5" max="5" width="12.42578125" customWidth="1"/>
    <col min="6" max="6" width="9.140625" customWidth="1"/>
    <col min="7" max="9" width="12.7109375" customWidth="1"/>
    <col min="10" max="10" width="7.42578125" hidden="1" customWidth="1"/>
    <col min="11" max="11" width="15" hidden="1" customWidth="1"/>
    <col min="12" max="12" width="10.5703125" customWidth="1"/>
    <col min="13" max="13" width="13.7109375" customWidth="1"/>
    <col min="14" max="16" width="12.42578125" customWidth="1"/>
    <col min="17" max="17" width="12.7109375" customWidth="1"/>
    <col min="18" max="18" width="9.140625" customWidth="1"/>
    <col min="19" max="20" width="14.42578125" customWidth="1"/>
    <col min="21" max="21" width="17.140625" customWidth="1"/>
    <col min="22" max="22" width="14.28515625" customWidth="1"/>
    <col min="23" max="23" width="13.42578125" customWidth="1"/>
    <col min="24" max="24" width="14.5703125" bestFit="1" customWidth="1"/>
    <col min="25" max="25" width="9.140625" customWidth="1"/>
  </cols>
  <sheetData>
    <row r="1" spans="1:24" x14ac:dyDescent="0.25">
      <c r="A1" s="105" t="s">
        <v>34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</row>
    <row r="2" spans="1:24" ht="60" x14ac:dyDescent="0.25">
      <c r="A2" s="106" t="s">
        <v>10</v>
      </c>
      <c r="B2" s="115" t="s">
        <v>12</v>
      </c>
      <c r="C2" s="116"/>
      <c r="D2" s="116"/>
      <c r="E2" s="117"/>
      <c r="F2" s="109" t="s">
        <v>13</v>
      </c>
      <c r="G2" s="110"/>
      <c r="H2" s="110"/>
      <c r="I2" s="111"/>
      <c r="J2" s="118" t="s">
        <v>14</v>
      </c>
      <c r="K2" s="118"/>
      <c r="L2" s="112" t="s">
        <v>17</v>
      </c>
      <c r="M2" s="113"/>
      <c r="N2" s="113"/>
      <c r="O2" s="114"/>
      <c r="P2" s="119" t="s">
        <v>31</v>
      </c>
      <c r="Q2" s="120"/>
      <c r="R2" s="108" t="s">
        <v>29</v>
      </c>
      <c r="S2" s="108"/>
      <c r="T2" s="58" t="s">
        <v>30</v>
      </c>
      <c r="U2" s="26" t="s">
        <v>16</v>
      </c>
      <c r="V2" s="27" t="s">
        <v>20</v>
      </c>
      <c r="W2" s="27" t="s">
        <v>32</v>
      </c>
      <c r="X2" s="69"/>
    </row>
    <row r="3" spans="1:24" ht="45" x14ac:dyDescent="0.25">
      <c r="A3" s="107"/>
      <c r="B3" s="24"/>
      <c r="C3" s="24" t="s">
        <v>19</v>
      </c>
      <c r="D3" s="48" t="s">
        <v>28</v>
      </c>
      <c r="E3" s="48" t="s">
        <v>27</v>
      </c>
      <c r="F3" s="36" t="s">
        <v>18</v>
      </c>
      <c r="G3" s="36" t="s">
        <v>19</v>
      </c>
      <c r="H3" s="33" t="s">
        <v>28</v>
      </c>
      <c r="I3" s="33" t="s">
        <v>27</v>
      </c>
      <c r="J3" s="28" t="s">
        <v>18</v>
      </c>
      <c r="K3" s="28" t="s">
        <v>19</v>
      </c>
      <c r="L3" s="47" t="s">
        <v>18</v>
      </c>
      <c r="M3" s="47" t="s">
        <v>19</v>
      </c>
      <c r="N3" s="27" t="s">
        <v>28</v>
      </c>
      <c r="O3" s="27" t="s">
        <v>27</v>
      </c>
      <c r="P3" s="55" t="s">
        <v>28</v>
      </c>
      <c r="Q3" s="55" t="s">
        <v>27</v>
      </c>
      <c r="R3" s="25" t="s">
        <v>18</v>
      </c>
      <c r="S3" s="25" t="s">
        <v>19</v>
      </c>
      <c r="T3" s="58"/>
      <c r="U3" s="26" t="s">
        <v>19</v>
      </c>
      <c r="V3" s="66" t="s">
        <v>19</v>
      </c>
      <c r="W3" s="27" t="s">
        <v>19</v>
      </c>
      <c r="X3" s="63">
        <v>2024</v>
      </c>
    </row>
    <row r="4" spans="1:24" x14ac:dyDescent="0.25">
      <c r="A4" s="5" t="s">
        <v>0</v>
      </c>
      <c r="B4" s="40">
        <v>17</v>
      </c>
      <c r="C4" s="91">
        <v>91241.32</v>
      </c>
      <c r="D4" s="50">
        <v>9</v>
      </c>
      <c r="E4" s="30">
        <v>2700</v>
      </c>
      <c r="F4" s="51">
        <v>0</v>
      </c>
      <c r="G4" s="43"/>
      <c r="H4" s="7">
        <v>2</v>
      </c>
      <c r="I4" s="44">
        <v>600</v>
      </c>
      <c r="J4" s="9"/>
      <c r="K4" s="15"/>
      <c r="L4" s="18">
        <v>0</v>
      </c>
      <c r="M4" s="71">
        <v>0</v>
      </c>
      <c r="N4" s="18">
        <v>0</v>
      </c>
      <c r="O4" s="21">
        <v>0</v>
      </c>
      <c r="P4" s="56">
        <f>D4+H4+N4</f>
        <v>11</v>
      </c>
      <c r="Q4" s="53">
        <f>E4+I4+O4</f>
        <v>3300</v>
      </c>
      <c r="R4" s="17">
        <f>B4+F4+L4</f>
        <v>17</v>
      </c>
      <c r="S4" s="10">
        <f>C4+G4+M4</f>
        <v>91241.32</v>
      </c>
      <c r="T4" s="59">
        <f>Q4+S4</f>
        <v>94541.32</v>
      </c>
      <c r="U4" s="45">
        <f>100000+12159.54+1505.9+10474.12</f>
        <v>124139.56</v>
      </c>
      <c r="V4" s="68">
        <f t="shared" ref="V4:V15" si="0">U4-T4</f>
        <v>29598.239999999991</v>
      </c>
      <c r="W4" s="72"/>
      <c r="X4" s="64">
        <v>212236.27</v>
      </c>
    </row>
    <row r="5" spans="1:24" x14ac:dyDescent="0.25">
      <c r="A5" s="5" t="s">
        <v>1</v>
      </c>
      <c r="B5" s="40">
        <f>-C5</f>
        <v>0</v>
      </c>
      <c r="C5" s="31">
        <v>0</v>
      </c>
      <c r="D5" s="50">
        <f t="shared" ref="D5:D13" si="1">E5/300</f>
        <v>0</v>
      </c>
      <c r="E5" s="31">
        <v>0</v>
      </c>
      <c r="F5" s="51">
        <v>8</v>
      </c>
      <c r="G5" s="43">
        <v>55864.76</v>
      </c>
      <c r="H5" s="7">
        <v>12</v>
      </c>
      <c r="I5" s="44">
        <v>3600</v>
      </c>
      <c r="J5" s="9"/>
      <c r="K5" s="9"/>
      <c r="L5" s="18">
        <v>0</v>
      </c>
      <c r="M5" s="71">
        <v>0</v>
      </c>
      <c r="N5" s="18">
        <v>0</v>
      </c>
      <c r="O5" s="20">
        <v>0</v>
      </c>
      <c r="P5" s="56">
        <f t="shared" ref="P5:Q15" si="2">D5+H5+N5</f>
        <v>12</v>
      </c>
      <c r="Q5" s="53">
        <f t="shared" si="2"/>
        <v>3600</v>
      </c>
      <c r="R5" s="17">
        <f t="shared" ref="R5:R15" si="3">B5+F5+L5</f>
        <v>8</v>
      </c>
      <c r="S5" s="10">
        <f t="shared" ref="S5:S15" si="4">C5+G5+M5</f>
        <v>55864.76</v>
      </c>
      <c r="T5" s="59">
        <f t="shared" ref="T5:T15" si="5">Q5+S5</f>
        <v>59464.76</v>
      </c>
      <c r="U5" s="45">
        <f>100000</f>
        <v>100000</v>
      </c>
      <c r="V5" s="68">
        <f t="shared" si="0"/>
        <v>40535.24</v>
      </c>
      <c r="W5" s="72"/>
      <c r="X5" s="64">
        <v>234150.72</v>
      </c>
    </row>
    <row r="6" spans="1:24" x14ac:dyDescent="0.25">
      <c r="A6" s="5" t="s">
        <v>2</v>
      </c>
      <c r="B6" s="40">
        <v>2</v>
      </c>
      <c r="C6" s="31">
        <v>10700</v>
      </c>
      <c r="D6" s="50">
        <v>1</v>
      </c>
      <c r="E6" s="31">
        <v>300</v>
      </c>
      <c r="F6" s="51">
        <v>0</v>
      </c>
      <c r="G6" s="43"/>
      <c r="H6" s="7">
        <v>0</v>
      </c>
      <c r="I6" s="44">
        <v>0</v>
      </c>
      <c r="J6" s="9"/>
      <c r="K6" s="9"/>
      <c r="L6" s="18">
        <v>0</v>
      </c>
      <c r="M6" s="71">
        <v>0</v>
      </c>
      <c r="N6" s="18">
        <v>0</v>
      </c>
      <c r="O6" s="20">
        <v>0</v>
      </c>
      <c r="P6" s="56">
        <f t="shared" si="2"/>
        <v>1</v>
      </c>
      <c r="Q6" s="53">
        <f t="shared" si="2"/>
        <v>300</v>
      </c>
      <c r="R6" s="17">
        <f t="shared" si="3"/>
        <v>2</v>
      </c>
      <c r="S6" s="10">
        <f t="shared" si="4"/>
        <v>10700</v>
      </c>
      <c r="T6" s="59">
        <f t="shared" si="5"/>
        <v>11000</v>
      </c>
      <c r="U6" s="45">
        <v>80000</v>
      </c>
      <c r="V6" s="68">
        <f t="shared" si="0"/>
        <v>69000</v>
      </c>
      <c r="W6" s="72"/>
      <c r="X6" s="64">
        <v>134353.98000000001</v>
      </c>
    </row>
    <row r="7" spans="1:24" x14ac:dyDescent="0.25">
      <c r="A7" s="5" t="s">
        <v>3</v>
      </c>
      <c r="B7" s="40">
        <v>8</v>
      </c>
      <c r="C7" s="31">
        <v>43656.02</v>
      </c>
      <c r="D7" s="50">
        <f t="shared" si="1"/>
        <v>4</v>
      </c>
      <c r="E7" s="31">
        <v>1200</v>
      </c>
      <c r="F7" s="51">
        <v>0</v>
      </c>
      <c r="G7" s="43"/>
      <c r="H7" s="7">
        <v>0</v>
      </c>
      <c r="I7" s="44">
        <v>0</v>
      </c>
      <c r="J7" s="9"/>
      <c r="K7" s="9"/>
      <c r="L7" s="18">
        <v>0</v>
      </c>
      <c r="M7" s="71">
        <v>0</v>
      </c>
      <c r="N7" s="18">
        <v>0</v>
      </c>
      <c r="O7" s="20">
        <v>0</v>
      </c>
      <c r="P7" s="56">
        <f t="shared" si="2"/>
        <v>4</v>
      </c>
      <c r="Q7" s="53">
        <f t="shared" si="2"/>
        <v>1200</v>
      </c>
      <c r="R7" s="17">
        <f t="shared" si="3"/>
        <v>8</v>
      </c>
      <c r="S7" s="10">
        <f t="shared" si="4"/>
        <v>43656.02</v>
      </c>
      <c r="T7" s="59">
        <f t="shared" si="5"/>
        <v>44856.02</v>
      </c>
      <c r="U7" s="45">
        <v>80000</v>
      </c>
      <c r="V7" s="68">
        <f t="shared" si="0"/>
        <v>35143.980000000003</v>
      </c>
      <c r="W7" s="73"/>
      <c r="X7" s="64">
        <v>200642.48</v>
      </c>
    </row>
    <row r="8" spans="1:24" x14ac:dyDescent="0.25">
      <c r="A8" s="5" t="s">
        <v>4</v>
      </c>
      <c r="B8" s="40">
        <v>0</v>
      </c>
      <c r="C8" s="31">
        <v>0</v>
      </c>
      <c r="D8" s="50">
        <f t="shared" si="1"/>
        <v>0</v>
      </c>
      <c r="E8" s="31">
        <v>0</v>
      </c>
      <c r="F8" s="51">
        <v>13</v>
      </c>
      <c r="G8" s="43">
        <v>82834.94</v>
      </c>
      <c r="H8" s="7">
        <v>16</v>
      </c>
      <c r="I8" s="44">
        <v>4800</v>
      </c>
      <c r="J8" s="9"/>
      <c r="K8" s="9"/>
      <c r="L8" s="18">
        <v>0</v>
      </c>
      <c r="M8" s="71">
        <v>0</v>
      </c>
      <c r="N8" s="18">
        <v>0</v>
      </c>
      <c r="O8" s="20">
        <v>0</v>
      </c>
      <c r="P8" s="56">
        <f t="shared" si="2"/>
        <v>16</v>
      </c>
      <c r="Q8" s="53">
        <f t="shared" si="2"/>
        <v>4800</v>
      </c>
      <c r="R8" s="17">
        <f t="shared" si="3"/>
        <v>13</v>
      </c>
      <c r="S8" s="10">
        <f t="shared" si="4"/>
        <v>82834.94</v>
      </c>
      <c r="T8" s="59">
        <f t="shared" si="5"/>
        <v>87634.94</v>
      </c>
      <c r="U8" s="45">
        <f>100000+6725.55+4736.7+11762.25</f>
        <v>123224.5</v>
      </c>
      <c r="V8" s="68">
        <f t="shared" si="0"/>
        <v>35589.56</v>
      </c>
      <c r="W8" s="72"/>
      <c r="X8" s="64">
        <v>195487.97</v>
      </c>
    </row>
    <row r="9" spans="1:24" x14ac:dyDescent="0.25">
      <c r="A9" s="5" t="s">
        <v>6</v>
      </c>
      <c r="B9" s="40">
        <v>12</v>
      </c>
      <c r="C9" s="31">
        <v>66123.34</v>
      </c>
      <c r="D9" s="50">
        <v>8</v>
      </c>
      <c r="E9" s="31">
        <v>2400</v>
      </c>
      <c r="F9" s="51">
        <v>9</v>
      </c>
      <c r="G9" s="43">
        <v>50766.13</v>
      </c>
      <c r="H9" s="7">
        <v>9</v>
      </c>
      <c r="I9" s="44">
        <v>2700</v>
      </c>
      <c r="J9" s="9"/>
      <c r="K9" s="15"/>
      <c r="L9" s="18">
        <v>0</v>
      </c>
      <c r="M9" s="71">
        <v>0</v>
      </c>
      <c r="N9" s="18">
        <v>0</v>
      </c>
      <c r="O9" s="21">
        <v>0</v>
      </c>
      <c r="P9" s="56">
        <f t="shared" si="2"/>
        <v>17</v>
      </c>
      <c r="Q9" s="53">
        <f t="shared" si="2"/>
        <v>5100</v>
      </c>
      <c r="R9" s="17">
        <f t="shared" si="3"/>
        <v>21</v>
      </c>
      <c r="S9" s="10">
        <f t="shared" si="4"/>
        <v>116889.47</v>
      </c>
      <c r="T9" s="59">
        <f t="shared" si="5"/>
        <v>121989.47</v>
      </c>
      <c r="U9" s="60">
        <f>100000+290+2368.35+7398.35+11712.77+5539.94+610.06</f>
        <v>127919.47000000002</v>
      </c>
      <c r="V9" s="68">
        <f t="shared" si="0"/>
        <v>5930.0000000000146</v>
      </c>
      <c r="W9" s="72"/>
      <c r="X9" s="64">
        <v>227480.44</v>
      </c>
    </row>
    <row r="10" spans="1:24" x14ac:dyDescent="0.25">
      <c r="A10" s="5" t="s">
        <v>11</v>
      </c>
      <c r="B10" s="40">
        <v>0</v>
      </c>
      <c r="C10" s="31">
        <v>0</v>
      </c>
      <c r="D10" s="50">
        <f t="shared" si="1"/>
        <v>0</v>
      </c>
      <c r="E10" s="31">
        <v>0</v>
      </c>
      <c r="F10" s="51">
        <v>2</v>
      </c>
      <c r="G10" s="43">
        <v>9700</v>
      </c>
      <c r="H10" s="7">
        <v>3</v>
      </c>
      <c r="I10" s="44">
        <v>900</v>
      </c>
      <c r="J10" s="9"/>
      <c r="K10" s="9"/>
      <c r="L10" s="18">
        <v>0</v>
      </c>
      <c r="M10" s="71">
        <v>0</v>
      </c>
      <c r="N10" s="18">
        <v>1</v>
      </c>
      <c r="O10" s="21">
        <v>300</v>
      </c>
      <c r="P10" s="56">
        <f t="shared" si="2"/>
        <v>4</v>
      </c>
      <c r="Q10" s="53">
        <f t="shared" si="2"/>
        <v>1200</v>
      </c>
      <c r="R10" s="17">
        <f t="shared" si="3"/>
        <v>2</v>
      </c>
      <c r="S10" s="10">
        <f t="shared" si="4"/>
        <v>9700</v>
      </c>
      <c r="T10" s="59">
        <f t="shared" si="5"/>
        <v>10900</v>
      </c>
      <c r="U10" s="45">
        <v>80000</v>
      </c>
      <c r="V10" s="68">
        <f t="shared" si="0"/>
        <v>69100</v>
      </c>
      <c r="W10" s="72"/>
      <c r="X10" s="64">
        <v>54155.17</v>
      </c>
    </row>
    <row r="11" spans="1:24" x14ac:dyDescent="0.25">
      <c r="A11" s="5" t="s">
        <v>5</v>
      </c>
      <c r="B11" s="40">
        <v>11</v>
      </c>
      <c r="C11" s="31">
        <v>60044.84</v>
      </c>
      <c r="D11" s="50">
        <f t="shared" si="1"/>
        <v>8</v>
      </c>
      <c r="E11" s="31">
        <v>2400</v>
      </c>
      <c r="F11" s="51">
        <v>5</v>
      </c>
      <c r="G11" s="43">
        <v>35138.06</v>
      </c>
      <c r="H11" s="7">
        <v>5</v>
      </c>
      <c r="I11" s="44">
        <v>1500</v>
      </c>
      <c r="J11" s="9"/>
      <c r="K11" s="9"/>
      <c r="L11" s="18">
        <v>0</v>
      </c>
      <c r="M11" s="71">
        <v>0</v>
      </c>
      <c r="N11" s="18">
        <v>0</v>
      </c>
      <c r="O11" s="21">
        <v>0</v>
      </c>
      <c r="P11" s="56">
        <f t="shared" si="2"/>
        <v>13</v>
      </c>
      <c r="Q11" s="53">
        <f t="shared" si="2"/>
        <v>3900</v>
      </c>
      <c r="R11" s="17">
        <f t="shared" si="3"/>
        <v>16</v>
      </c>
      <c r="S11" s="10">
        <f t="shared" si="4"/>
        <v>95182.9</v>
      </c>
      <c r="T11" s="59">
        <f t="shared" si="5"/>
        <v>99082.9</v>
      </c>
      <c r="U11" s="45">
        <f>100000+11125.91</f>
        <v>111125.91</v>
      </c>
      <c r="V11" s="68">
        <f t="shared" si="0"/>
        <v>12043.010000000009</v>
      </c>
      <c r="W11" s="72"/>
      <c r="X11" s="64">
        <v>279604.65999999997</v>
      </c>
    </row>
    <row r="12" spans="1:24" x14ac:dyDescent="0.25">
      <c r="A12" s="5" t="s">
        <v>25</v>
      </c>
      <c r="B12" s="40">
        <v>0</v>
      </c>
      <c r="C12" s="31">
        <v>0</v>
      </c>
      <c r="D12" s="50">
        <f t="shared" si="1"/>
        <v>0</v>
      </c>
      <c r="E12" s="31">
        <v>0</v>
      </c>
      <c r="F12" s="51">
        <v>0</v>
      </c>
      <c r="G12" s="43"/>
      <c r="H12" s="7">
        <v>1</v>
      </c>
      <c r="I12" s="44">
        <v>300</v>
      </c>
      <c r="J12" s="9"/>
      <c r="K12" s="9"/>
      <c r="L12" s="18">
        <v>4</v>
      </c>
      <c r="M12" s="71">
        <v>28425.05</v>
      </c>
      <c r="N12" s="18">
        <v>6</v>
      </c>
      <c r="O12" s="21">
        <v>1800</v>
      </c>
      <c r="P12" s="56">
        <f t="shared" si="2"/>
        <v>7</v>
      </c>
      <c r="Q12" s="53">
        <f t="shared" si="2"/>
        <v>2100</v>
      </c>
      <c r="R12" s="17">
        <f t="shared" si="3"/>
        <v>4</v>
      </c>
      <c r="S12" s="10">
        <f t="shared" si="4"/>
        <v>28425.05</v>
      </c>
      <c r="T12" s="59">
        <f t="shared" si="5"/>
        <v>30525.05</v>
      </c>
      <c r="U12" s="45">
        <f>50000+3620.1</f>
        <v>53620.1</v>
      </c>
      <c r="V12" s="68">
        <f t="shared" si="0"/>
        <v>23095.05</v>
      </c>
      <c r="W12" s="72"/>
      <c r="X12" s="64">
        <v>0</v>
      </c>
    </row>
    <row r="13" spans="1:24" x14ac:dyDescent="0.25">
      <c r="A13" s="5" t="s">
        <v>7</v>
      </c>
      <c r="B13" s="40">
        <v>1</v>
      </c>
      <c r="C13" s="31">
        <v>4850</v>
      </c>
      <c r="D13" s="50">
        <f t="shared" si="1"/>
        <v>1</v>
      </c>
      <c r="E13" s="31">
        <v>300</v>
      </c>
      <c r="F13" s="51">
        <v>6</v>
      </c>
      <c r="G13" s="43">
        <v>30874.12</v>
      </c>
      <c r="H13" s="7">
        <v>7</v>
      </c>
      <c r="I13" s="44">
        <v>2100</v>
      </c>
      <c r="J13" s="9"/>
      <c r="K13" s="9"/>
      <c r="L13" s="18">
        <v>2</v>
      </c>
      <c r="M13" s="71">
        <v>10087.06</v>
      </c>
      <c r="N13" s="18">
        <v>4</v>
      </c>
      <c r="O13" s="21">
        <v>1200</v>
      </c>
      <c r="P13" s="56">
        <f t="shared" si="2"/>
        <v>12</v>
      </c>
      <c r="Q13" s="53">
        <f t="shared" si="2"/>
        <v>3600</v>
      </c>
      <c r="R13" s="17">
        <f t="shared" si="3"/>
        <v>9</v>
      </c>
      <c r="S13" s="10">
        <f t="shared" si="4"/>
        <v>45811.179999999993</v>
      </c>
      <c r="T13" s="59">
        <f t="shared" si="5"/>
        <v>49411.179999999993</v>
      </c>
      <c r="U13" s="45">
        <f>100000</f>
        <v>100000</v>
      </c>
      <c r="V13" s="68">
        <f t="shared" si="0"/>
        <v>50588.820000000007</v>
      </c>
      <c r="W13" s="72"/>
      <c r="X13" s="64">
        <v>214091.96</v>
      </c>
    </row>
    <row r="14" spans="1:24" x14ac:dyDescent="0.25">
      <c r="A14" s="5" t="s">
        <v>8</v>
      </c>
      <c r="B14" s="40">
        <v>5</v>
      </c>
      <c r="C14" s="31">
        <v>26008.86</v>
      </c>
      <c r="D14" s="50">
        <v>4</v>
      </c>
      <c r="E14" s="31">
        <v>1200</v>
      </c>
      <c r="F14" s="51">
        <v>3</v>
      </c>
      <c r="G14" s="43">
        <v>19706.13</v>
      </c>
      <c r="H14" s="7">
        <v>4</v>
      </c>
      <c r="I14" s="44">
        <v>1200</v>
      </c>
      <c r="J14" s="9"/>
      <c r="K14" s="9"/>
      <c r="L14" s="18">
        <v>5</v>
      </c>
      <c r="M14" s="71">
        <v>24250</v>
      </c>
      <c r="N14" s="18">
        <v>5</v>
      </c>
      <c r="O14" s="21">
        <v>1500</v>
      </c>
      <c r="P14" s="56">
        <f t="shared" si="2"/>
        <v>13</v>
      </c>
      <c r="Q14" s="53">
        <f t="shared" si="2"/>
        <v>3900</v>
      </c>
      <c r="R14" s="17">
        <f t="shared" si="3"/>
        <v>13</v>
      </c>
      <c r="S14" s="10">
        <f t="shared" si="4"/>
        <v>69964.990000000005</v>
      </c>
      <c r="T14" s="59">
        <f t="shared" si="5"/>
        <v>73864.990000000005</v>
      </c>
      <c r="U14" s="45">
        <f>100000+3006.13</f>
        <v>103006.13</v>
      </c>
      <c r="V14" s="68">
        <f t="shared" si="0"/>
        <v>29141.14</v>
      </c>
      <c r="W14" s="73"/>
      <c r="X14" s="64">
        <v>184393.59</v>
      </c>
    </row>
    <row r="15" spans="1:24" x14ac:dyDescent="0.25">
      <c r="A15" s="5" t="s">
        <v>9</v>
      </c>
      <c r="B15" s="40">
        <v>6</v>
      </c>
      <c r="C15" s="31">
        <v>32648.240000000002</v>
      </c>
      <c r="D15" s="50">
        <v>4</v>
      </c>
      <c r="E15" s="31">
        <v>1200</v>
      </c>
      <c r="F15" s="51">
        <v>1</v>
      </c>
      <c r="G15" s="43">
        <v>5237.0600000000004</v>
      </c>
      <c r="H15" s="7">
        <v>1</v>
      </c>
      <c r="I15" s="44">
        <v>300</v>
      </c>
      <c r="J15" s="9"/>
      <c r="K15" s="9"/>
      <c r="L15" s="18">
        <v>0</v>
      </c>
      <c r="M15" s="71">
        <v>0</v>
      </c>
      <c r="N15" s="18">
        <v>0</v>
      </c>
      <c r="O15" s="21">
        <v>0</v>
      </c>
      <c r="P15" s="56">
        <f t="shared" si="2"/>
        <v>5</v>
      </c>
      <c r="Q15" s="53">
        <f t="shared" si="2"/>
        <v>1500</v>
      </c>
      <c r="R15" s="17">
        <f t="shared" si="3"/>
        <v>7</v>
      </c>
      <c r="S15" s="10">
        <f t="shared" si="4"/>
        <v>37885.300000000003</v>
      </c>
      <c r="T15" s="59">
        <f t="shared" si="5"/>
        <v>39385.300000000003</v>
      </c>
      <c r="U15" s="45">
        <v>50000</v>
      </c>
      <c r="V15" s="68">
        <f t="shared" si="0"/>
        <v>10614.699999999997</v>
      </c>
      <c r="W15" s="73"/>
      <c r="X15" s="64">
        <v>106346.28</v>
      </c>
    </row>
    <row r="16" spans="1:24" x14ac:dyDescent="0.25">
      <c r="A16" s="5" t="s">
        <v>15</v>
      </c>
      <c r="B16" s="41">
        <f t="shared" ref="B16:E16" si="6">SUM(B4:B15)</f>
        <v>62</v>
      </c>
      <c r="C16" s="49">
        <f t="shared" si="6"/>
        <v>335272.62</v>
      </c>
      <c r="D16" s="41">
        <f t="shared" si="6"/>
        <v>39</v>
      </c>
      <c r="E16" s="32">
        <f t="shared" si="6"/>
        <v>11700</v>
      </c>
      <c r="F16" s="52">
        <f>SUM(F4:F15)</f>
        <v>47</v>
      </c>
      <c r="G16" s="43">
        <f>SUM(G4:G15)</f>
        <v>290121.2</v>
      </c>
      <c r="H16" s="11">
        <f>SUM(H4:H15)</f>
        <v>60</v>
      </c>
      <c r="I16" s="44">
        <f>SUM(I4:I15)</f>
        <v>18000</v>
      </c>
      <c r="J16" s="12"/>
      <c r="K16" s="13"/>
      <c r="L16" s="42">
        <f t="shared" ref="L16:Q16" si="7">SUM(L4:L15)</f>
        <v>11</v>
      </c>
      <c r="M16" s="70">
        <f t="shared" si="7"/>
        <v>62762.11</v>
      </c>
      <c r="N16" s="42">
        <f t="shared" si="7"/>
        <v>16</v>
      </c>
      <c r="O16" s="62">
        <f>SUM(O4:O15)</f>
        <v>4800</v>
      </c>
      <c r="P16" s="57">
        <f t="shared" si="7"/>
        <v>115</v>
      </c>
      <c r="Q16" s="54">
        <f t="shared" si="7"/>
        <v>34500</v>
      </c>
      <c r="R16" s="22">
        <f t="shared" ref="R16:W16" si="8">SUM(R4:R15)</f>
        <v>120</v>
      </c>
      <c r="S16" s="10">
        <f t="shared" si="8"/>
        <v>688155.93000000017</v>
      </c>
      <c r="T16" s="59">
        <f t="shared" si="8"/>
        <v>722655.93000000017</v>
      </c>
      <c r="U16" s="46">
        <f t="shared" si="8"/>
        <v>1133035.67</v>
      </c>
      <c r="V16" s="67">
        <f t="shared" si="8"/>
        <v>410379.74000000005</v>
      </c>
      <c r="W16" s="23">
        <f t="shared" si="8"/>
        <v>0</v>
      </c>
      <c r="X16" s="65">
        <v>2042943.5199999996</v>
      </c>
    </row>
    <row r="17" spans="3:23" ht="28.5" customHeight="1" x14ac:dyDescent="0.25"/>
    <row r="18" spans="3:23" x14ac:dyDescent="0.25">
      <c r="C18" s="16"/>
    </row>
    <row r="19" spans="3:23" x14ac:dyDescent="0.25">
      <c r="U19" s="35"/>
    </row>
    <row r="21" spans="3:23" x14ac:dyDescent="0.25">
      <c r="Q21" s="16"/>
    </row>
    <row r="22" spans="3:23" x14ac:dyDescent="0.25">
      <c r="W22" s="61"/>
    </row>
    <row r="23" spans="3:23" x14ac:dyDescent="0.25">
      <c r="U23" s="35"/>
      <c r="V23" s="35"/>
    </row>
  </sheetData>
  <mergeCells count="8">
    <mergeCell ref="A1:V1"/>
    <mergeCell ref="A2:A3"/>
    <mergeCell ref="J2:K2"/>
    <mergeCell ref="R2:S2"/>
    <mergeCell ref="B2:E2"/>
    <mergeCell ref="F2:I2"/>
    <mergeCell ref="L2:O2"/>
    <mergeCell ref="P2:Q2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COMPETENCIAS )</vt:lpstr>
      <vt:lpstr>COMPETENCIA DEZ A JAN 25</vt:lpstr>
      <vt:lpstr>COMPETENCIA NOV A DEZ 25</vt:lpstr>
      <vt:lpstr>COMPETENCIA  OUT A NOV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Rosiléa Mara da Silva</dc:creator>
  <cp:lastModifiedBy>Davi Alves</cp:lastModifiedBy>
  <dcterms:created xsi:type="dcterms:W3CDTF">2024-07-08T13:59:18Z</dcterms:created>
  <dcterms:modified xsi:type="dcterms:W3CDTF">2025-12-22T12:43:31Z</dcterms:modified>
</cp:coreProperties>
</file>