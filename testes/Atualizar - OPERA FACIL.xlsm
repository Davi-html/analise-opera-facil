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lves\Downloads\"/>
    </mc:Choice>
  </mc:AlternateContent>
  <xr:revisionPtr revIDLastSave="0" documentId="13_ncr:1_{EA116E90-5745-480F-83D6-4A7146663DE7}" xr6:coauthVersionLast="47" xr6:coauthVersionMax="47" xr10:uidLastSave="{00000000-0000-0000-0000-000000000000}"/>
  <bookViews>
    <workbookView xWindow="-120" yWindow="-120" windowWidth="20730" windowHeight="11040" firstSheet="2" activeTab="4" xr2:uid="{00000000-000D-0000-FFFF-FFFF00000000}"/>
  </bookViews>
  <sheets>
    <sheet name="Faltas" sheetId="1" state="hidden" r:id="rId1"/>
    <sheet name="Competencia" sheetId="2" state="hidden" r:id="rId2"/>
    <sheet name="2025" sheetId="3" r:id="rId3"/>
    <sheet name="2024" sheetId="9" r:id="rId4"/>
    <sheet name="Neomater" sheetId="6" r:id="rId5"/>
    <sheet name="Neotin" sheetId="5" r:id="rId6"/>
    <sheet name="ProntoBaby" sheetId="7" r:id="rId7"/>
    <sheet name="Seg vision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Q18" i="7" l="1"/>
  <c r="DP18" i="7"/>
  <c r="DO18" i="7"/>
  <c r="DN18" i="7"/>
  <c r="DM18" i="7"/>
  <c r="DL18" i="7"/>
  <c r="DK18" i="7"/>
  <c r="DJ18" i="7"/>
  <c r="DI18" i="7"/>
  <c r="DH18" i="7"/>
  <c r="DG18" i="7"/>
  <c r="DF18" i="7"/>
  <c r="DR18" i="7" s="1"/>
  <c r="DQ17" i="7"/>
  <c r="DP17" i="7"/>
  <c r="DO17" i="7"/>
  <c r="DN17" i="7"/>
  <c r="DM17" i="7"/>
  <c r="DL17" i="7"/>
  <c r="DK17" i="7"/>
  <c r="DJ17" i="7"/>
  <c r="DI17" i="7"/>
  <c r="DH17" i="7"/>
  <c r="DG17" i="7"/>
  <c r="DF17" i="7"/>
  <c r="DR17" i="7" s="1"/>
  <c r="DQ16" i="7"/>
  <c r="DP16" i="7"/>
  <c r="DO16" i="7"/>
  <c r="DN16" i="7"/>
  <c r="DM16" i="7"/>
  <c r="DL16" i="7"/>
  <c r="DK16" i="7"/>
  <c r="DJ16" i="7"/>
  <c r="DI16" i="7"/>
  <c r="DH16" i="7"/>
  <c r="DG16" i="7"/>
  <c r="DF16" i="7"/>
  <c r="DR16" i="7" s="1"/>
  <c r="DQ15" i="7"/>
  <c r="DP15" i="7"/>
  <c r="DO15" i="7"/>
  <c r="DN15" i="7"/>
  <c r="DM15" i="7"/>
  <c r="DL15" i="7"/>
  <c r="DK15" i="7"/>
  <c r="DJ15" i="7"/>
  <c r="DI15" i="7"/>
  <c r="DH15" i="7"/>
  <c r="DG15" i="7"/>
  <c r="DF15" i="7"/>
  <c r="DR15" i="7" s="1"/>
  <c r="DQ14" i="7"/>
  <c r="DP14" i="7"/>
  <c r="DO14" i="7"/>
  <c r="DN14" i="7"/>
  <c r="DM14" i="7"/>
  <c r="DL14" i="7"/>
  <c r="DK14" i="7"/>
  <c r="DJ14" i="7"/>
  <c r="DI14" i="7"/>
  <c r="DH14" i="7"/>
  <c r="DG14" i="7"/>
  <c r="DF14" i="7"/>
  <c r="DR14" i="7" s="1"/>
  <c r="DQ13" i="7"/>
  <c r="DP13" i="7"/>
  <c r="DO13" i="7"/>
  <c r="DN13" i="7"/>
  <c r="DM13" i="7"/>
  <c r="DL13" i="7"/>
  <c r="DK13" i="7"/>
  <c r="DJ13" i="7"/>
  <c r="DI13" i="7"/>
  <c r="DH13" i="7"/>
  <c r="DG13" i="7"/>
  <c r="DF13" i="7"/>
  <c r="DR13" i="7" s="1"/>
  <c r="DQ12" i="7"/>
  <c r="DP12" i="7"/>
  <c r="DO12" i="7"/>
  <c r="DN12" i="7"/>
  <c r="DM12" i="7"/>
  <c r="DL12" i="7"/>
  <c r="DK12" i="7"/>
  <c r="DJ12" i="7"/>
  <c r="DI12" i="7"/>
  <c r="DH12" i="7"/>
  <c r="DG12" i="7"/>
  <c r="DF12" i="7"/>
  <c r="DR12" i="7" s="1"/>
  <c r="DQ11" i="7"/>
  <c r="DP11" i="7"/>
  <c r="DO11" i="7"/>
  <c r="DN11" i="7"/>
  <c r="DM11" i="7"/>
  <c r="DL11" i="7"/>
  <c r="DK11" i="7"/>
  <c r="DJ11" i="7"/>
  <c r="DI11" i="7"/>
  <c r="DH11" i="7"/>
  <c r="DG11" i="7"/>
  <c r="DF11" i="7"/>
  <c r="DR11" i="7" s="1"/>
  <c r="DQ10" i="7"/>
  <c r="DP10" i="7"/>
  <c r="DO10" i="7"/>
  <c r="DN10" i="7"/>
  <c r="DM10" i="7"/>
  <c r="DL10" i="7"/>
  <c r="DK10" i="7"/>
  <c r="DJ10" i="7"/>
  <c r="DI10" i="7"/>
  <c r="DH10" i="7"/>
  <c r="DG10" i="7"/>
  <c r="DF10" i="7"/>
  <c r="DR10" i="7" s="1"/>
  <c r="DQ9" i="7"/>
  <c r="DP9" i="7"/>
  <c r="DO9" i="7"/>
  <c r="DN9" i="7"/>
  <c r="DM9" i="7"/>
  <c r="DL9" i="7"/>
  <c r="DK9" i="7"/>
  <c r="DJ9" i="7"/>
  <c r="DI9" i="7"/>
  <c r="DH9" i="7"/>
  <c r="DG9" i="7"/>
  <c r="DF9" i="7"/>
  <c r="DR9" i="7" s="1"/>
  <c r="DQ8" i="7"/>
  <c r="DP8" i="7"/>
  <c r="DO8" i="7"/>
  <c r="DN8" i="7"/>
  <c r="DM8" i="7"/>
  <c r="DL8" i="7"/>
  <c r="DK8" i="7"/>
  <c r="DJ8" i="7"/>
  <c r="DI8" i="7"/>
  <c r="DH8" i="7"/>
  <c r="DG8" i="7"/>
  <c r="DF8" i="7"/>
  <c r="DR8" i="7" s="1"/>
  <c r="DQ7" i="7"/>
  <c r="DP7" i="7"/>
  <c r="DO7" i="7"/>
  <c r="DN7" i="7"/>
  <c r="DM7" i="7"/>
  <c r="DL7" i="7"/>
  <c r="DK7" i="7"/>
  <c r="DJ7" i="7"/>
  <c r="DI7" i="7"/>
  <c r="DH7" i="7"/>
  <c r="DG7" i="7"/>
  <c r="DF7" i="7"/>
  <c r="DR7" i="7" s="1"/>
  <c r="DQ6" i="7"/>
  <c r="DP6" i="7"/>
  <c r="DO6" i="7"/>
  <c r="DN6" i="7"/>
  <c r="DM6" i="7"/>
  <c r="DL6" i="7"/>
  <c r="DK6" i="7"/>
  <c r="DJ6" i="7"/>
  <c r="DI6" i="7"/>
  <c r="DH6" i="7"/>
  <c r="DG6" i="7"/>
  <c r="DF6" i="7"/>
  <c r="DR6" i="7" s="1"/>
  <c r="DQ5" i="7"/>
  <c r="DP5" i="7"/>
  <c r="DO5" i="7"/>
  <c r="DN5" i="7"/>
  <c r="DM5" i="7"/>
  <c r="DL5" i="7"/>
  <c r="DK5" i="7"/>
  <c r="DJ5" i="7"/>
  <c r="DI5" i="7"/>
  <c r="DH5" i="7"/>
  <c r="DG5" i="7"/>
  <c r="DF5" i="7"/>
  <c r="DR5" i="7" s="1"/>
  <c r="DQ4" i="7"/>
  <c r="DP4" i="7"/>
  <c r="DO4" i="7"/>
  <c r="DN4" i="7"/>
  <c r="DM4" i="7"/>
  <c r="DL4" i="7"/>
  <c r="DK4" i="7"/>
  <c r="DJ4" i="7"/>
  <c r="DI4" i="7"/>
  <c r="DH4" i="7"/>
  <c r="DG4" i="7"/>
  <c r="DF4" i="7"/>
  <c r="DR4" i="7" s="1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DQ3" i="7" s="1"/>
  <c r="L3" i="7"/>
  <c r="DP3" i="7" s="1"/>
  <c r="K3" i="7"/>
  <c r="DO3" i="7" s="1"/>
  <c r="J3" i="7"/>
  <c r="DN3" i="7" s="1"/>
  <c r="I3" i="7"/>
  <c r="DM3" i="7" s="1"/>
  <c r="H3" i="7"/>
  <c r="DL3" i="7" s="1"/>
  <c r="G3" i="7"/>
  <c r="DK3" i="7" s="1"/>
  <c r="F3" i="7"/>
  <c r="DJ3" i="7" s="1"/>
  <c r="E3" i="7"/>
  <c r="DI3" i="7" s="1"/>
  <c r="D3" i="7"/>
  <c r="DH3" i="7" s="1"/>
  <c r="C3" i="7"/>
  <c r="DG3" i="7" s="1"/>
  <c r="B3" i="7"/>
  <c r="DF3" i="7" s="1"/>
  <c r="DR3" i="7" s="1"/>
  <c r="DQ18" i="5"/>
  <c r="DP18" i="5"/>
  <c r="DO18" i="5"/>
  <c r="DN18" i="5"/>
  <c r="DM18" i="5"/>
  <c r="DL18" i="5"/>
  <c r="DK18" i="5"/>
  <c r="DJ18" i="5"/>
  <c r="DI18" i="5"/>
  <c r="DH18" i="5"/>
  <c r="DG18" i="5"/>
  <c r="DF18" i="5"/>
  <c r="DR18" i="5" s="1"/>
  <c r="DQ17" i="5"/>
  <c r="DP17" i="5"/>
  <c r="DO17" i="5"/>
  <c r="DN17" i="5"/>
  <c r="DM17" i="5"/>
  <c r="DL17" i="5"/>
  <c r="DK17" i="5"/>
  <c r="DJ17" i="5"/>
  <c r="DI17" i="5"/>
  <c r="DH17" i="5"/>
  <c r="DG17" i="5"/>
  <c r="DF17" i="5"/>
  <c r="DR17" i="5" s="1"/>
  <c r="DQ16" i="5"/>
  <c r="DP16" i="5"/>
  <c r="DO16" i="5"/>
  <c r="DN16" i="5"/>
  <c r="DM16" i="5"/>
  <c r="DL16" i="5"/>
  <c r="DK16" i="5"/>
  <c r="DJ16" i="5"/>
  <c r="DI16" i="5"/>
  <c r="DH16" i="5"/>
  <c r="DG16" i="5"/>
  <c r="DF16" i="5"/>
  <c r="DR16" i="5" s="1"/>
  <c r="DQ15" i="5"/>
  <c r="DP15" i="5"/>
  <c r="DO15" i="5"/>
  <c r="DN15" i="5"/>
  <c r="DM15" i="5"/>
  <c r="DL15" i="5"/>
  <c r="DK15" i="5"/>
  <c r="DJ15" i="5"/>
  <c r="DI15" i="5"/>
  <c r="DH15" i="5"/>
  <c r="DG15" i="5"/>
  <c r="DF15" i="5"/>
  <c r="DR15" i="5" s="1"/>
  <c r="DQ14" i="5"/>
  <c r="DP14" i="5"/>
  <c r="DO14" i="5"/>
  <c r="DN14" i="5"/>
  <c r="DM14" i="5"/>
  <c r="DL14" i="5"/>
  <c r="DK14" i="5"/>
  <c r="DJ14" i="5"/>
  <c r="DI14" i="5"/>
  <c r="DH14" i="5"/>
  <c r="DG14" i="5"/>
  <c r="DF14" i="5"/>
  <c r="DR14" i="5" s="1"/>
  <c r="DQ13" i="5"/>
  <c r="DP13" i="5"/>
  <c r="DO13" i="5"/>
  <c r="DN13" i="5"/>
  <c r="DM13" i="5"/>
  <c r="DL13" i="5"/>
  <c r="DK13" i="5"/>
  <c r="DJ13" i="5"/>
  <c r="DI13" i="5"/>
  <c r="DH13" i="5"/>
  <c r="DG13" i="5"/>
  <c r="DF13" i="5"/>
  <c r="DR13" i="5" s="1"/>
  <c r="DQ12" i="5"/>
  <c r="DP12" i="5"/>
  <c r="DO12" i="5"/>
  <c r="DN12" i="5"/>
  <c r="DM12" i="5"/>
  <c r="DL12" i="5"/>
  <c r="DK12" i="5"/>
  <c r="DJ12" i="5"/>
  <c r="DI12" i="5"/>
  <c r="DH12" i="5"/>
  <c r="DG12" i="5"/>
  <c r="DF12" i="5"/>
  <c r="DR12" i="5" s="1"/>
  <c r="DQ11" i="5"/>
  <c r="DP11" i="5"/>
  <c r="DO11" i="5"/>
  <c r="DN11" i="5"/>
  <c r="DM11" i="5"/>
  <c r="DL11" i="5"/>
  <c r="DK11" i="5"/>
  <c r="DJ11" i="5"/>
  <c r="DI11" i="5"/>
  <c r="DH11" i="5"/>
  <c r="DG11" i="5"/>
  <c r="DF11" i="5"/>
  <c r="DR11" i="5" s="1"/>
  <c r="DQ10" i="5"/>
  <c r="DP10" i="5"/>
  <c r="DO10" i="5"/>
  <c r="DN10" i="5"/>
  <c r="DM10" i="5"/>
  <c r="DL10" i="5"/>
  <c r="DK10" i="5"/>
  <c r="DJ10" i="5"/>
  <c r="DI10" i="5"/>
  <c r="DH10" i="5"/>
  <c r="DG10" i="5"/>
  <c r="DF10" i="5"/>
  <c r="DR10" i="5" s="1"/>
  <c r="DQ9" i="5"/>
  <c r="DP9" i="5"/>
  <c r="DO9" i="5"/>
  <c r="DN9" i="5"/>
  <c r="DM9" i="5"/>
  <c r="DL9" i="5"/>
  <c r="DK9" i="5"/>
  <c r="DJ9" i="5"/>
  <c r="DI9" i="5"/>
  <c r="DH9" i="5"/>
  <c r="DG9" i="5"/>
  <c r="DF9" i="5"/>
  <c r="DR9" i="5" s="1"/>
  <c r="DQ8" i="5"/>
  <c r="DP8" i="5"/>
  <c r="DO8" i="5"/>
  <c r="DN8" i="5"/>
  <c r="DM8" i="5"/>
  <c r="DL8" i="5"/>
  <c r="DK8" i="5"/>
  <c r="DJ8" i="5"/>
  <c r="DI8" i="5"/>
  <c r="DH8" i="5"/>
  <c r="DG8" i="5"/>
  <c r="DF8" i="5"/>
  <c r="DR8" i="5" s="1"/>
  <c r="DQ7" i="5"/>
  <c r="DP7" i="5"/>
  <c r="DO7" i="5"/>
  <c r="DN7" i="5"/>
  <c r="DM7" i="5"/>
  <c r="DL7" i="5"/>
  <c r="DK7" i="5"/>
  <c r="DJ7" i="5"/>
  <c r="DI7" i="5"/>
  <c r="DH7" i="5"/>
  <c r="DG7" i="5"/>
  <c r="DF7" i="5"/>
  <c r="DR7" i="5" s="1"/>
  <c r="DQ6" i="5"/>
  <c r="DP6" i="5"/>
  <c r="DO6" i="5"/>
  <c r="DN6" i="5"/>
  <c r="DM6" i="5"/>
  <c r="DL6" i="5"/>
  <c r="DK6" i="5"/>
  <c r="DJ6" i="5"/>
  <c r="DI6" i="5"/>
  <c r="DH6" i="5"/>
  <c r="DG6" i="5"/>
  <c r="DF6" i="5"/>
  <c r="DR6" i="5" s="1"/>
  <c r="DQ5" i="5"/>
  <c r="DP5" i="5"/>
  <c r="DO5" i="5"/>
  <c r="DN5" i="5"/>
  <c r="DM5" i="5"/>
  <c r="DL5" i="5"/>
  <c r="DK5" i="5"/>
  <c r="DJ5" i="5"/>
  <c r="DI5" i="5"/>
  <c r="DH5" i="5"/>
  <c r="DG5" i="5"/>
  <c r="DF5" i="5"/>
  <c r="DR5" i="5" s="1"/>
  <c r="DQ4" i="5"/>
  <c r="DP4" i="5"/>
  <c r="DO4" i="5"/>
  <c r="DN4" i="5"/>
  <c r="DM4" i="5"/>
  <c r="DL4" i="5"/>
  <c r="DK4" i="5"/>
  <c r="DJ4" i="5"/>
  <c r="DI4" i="5"/>
  <c r="DH4" i="5"/>
  <c r="DG4" i="5"/>
  <c r="DF4" i="5"/>
  <c r="DR4" i="5" s="1"/>
  <c r="DE3" i="5"/>
  <c r="DD3" i="5"/>
  <c r="DC3" i="5"/>
  <c r="DB3" i="5"/>
  <c r="DA3" i="5"/>
  <c r="CZ3" i="5"/>
  <c r="CY3" i="5"/>
  <c r="CX3" i="5"/>
  <c r="CW3" i="5"/>
  <c r="CV3" i="5"/>
  <c r="CU3" i="5"/>
  <c r="CT3" i="5"/>
  <c r="CS3" i="5"/>
  <c r="CR3" i="5"/>
  <c r="CQ3" i="5"/>
  <c r="CP3" i="5"/>
  <c r="CO3" i="5"/>
  <c r="CN3" i="5"/>
  <c r="CM3" i="5"/>
  <c r="CL3" i="5"/>
  <c r="CK3" i="5"/>
  <c r="CJ3" i="5"/>
  <c r="CI3" i="5"/>
  <c r="CH3" i="5"/>
  <c r="CG3" i="5"/>
  <c r="CF3" i="5"/>
  <c r="CE3" i="5"/>
  <c r="CD3" i="5"/>
  <c r="CC3" i="5"/>
  <c r="CB3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DQ3" i="5" s="1"/>
  <c r="L3" i="5"/>
  <c r="DP3" i="5" s="1"/>
  <c r="K3" i="5"/>
  <c r="DO3" i="5" s="1"/>
  <c r="J3" i="5"/>
  <c r="DN3" i="5" s="1"/>
  <c r="I3" i="5"/>
  <c r="DM3" i="5" s="1"/>
  <c r="H3" i="5"/>
  <c r="DL3" i="5" s="1"/>
  <c r="G3" i="5"/>
  <c r="DK3" i="5" s="1"/>
  <c r="F3" i="5"/>
  <c r="DJ3" i="5" s="1"/>
  <c r="E3" i="5"/>
  <c r="DI3" i="5" s="1"/>
  <c r="D3" i="5"/>
  <c r="DH3" i="5" s="1"/>
  <c r="C3" i="5"/>
  <c r="DG3" i="5" s="1"/>
  <c r="B3" i="5"/>
  <c r="DF3" i="5" s="1"/>
  <c r="DR3" i="5" s="1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L3" i="6"/>
  <c r="BM3" i="6"/>
  <c r="BN3" i="6"/>
  <c r="BO3" i="6"/>
  <c r="BP3" i="6"/>
  <c r="BQ3" i="6"/>
  <c r="BR3" i="6"/>
  <c r="BS3" i="6"/>
  <c r="BT3" i="6"/>
  <c r="BU3" i="6"/>
  <c r="BV3" i="6"/>
  <c r="BW3" i="6"/>
  <c r="BX3" i="6"/>
  <c r="BY3" i="6"/>
  <c r="BZ3" i="6"/>
  <c r="CA3" i="6"/>
  <c r="CB3" i="6"/>
  <c r="CC3" i="6"/>
  <c r="CD3" i="6"/>
  <c r="CE3" i="6"/>
  <c r="CF3" i="6"/>
  <c r="CG3" i="6"/>
  <c r="CH3" i="6"/>
  <c r="CI3" i="6"/>
  <c r="CJ3" i="6"/>
  <c r="CK3" i="6"/>
  <c r="CL3" i="6"/>
  <c r="CM3" i="6"/>
  <c r="CN3" i="6"/>
  <c r="CO3" i="6"/>
  <c r="CP3" i="6"/>
  <c r="CQ3" i="6"/>
  <c r="CR3" i="6"/>
  <c r="CS3" i="6"/>
  <c r="CT3" i="6"/>
  <c r="CU3" i="6"/>
  <c r="CV3" i="6"/>
  <c r="CW3" i="6"/>
  <c r="CX3" i="6"/>
  <c r="CY3" i="6"/>
  <c r="CZ3" i="6"/>
  <c r="DA3" i="6"/>
  <c r="DB3" i="6"/>
  <c r="DC3" i="6"/>
  <c r="DD3" i="6"/>
  <c r="DE3" i="6"/>
  <c r="B3" i="6"/>
  <c r="Z5" i="3"/>
  <c r="AA5" i="3"/>
  <c r="AB5" i="3"/>
  <c r="AC5" i="3"/>
  <c r="AD5" i="3"/>
  <c r="AE5" i="3"/>
  <c r="AF5" i="3"/>
  <c r="AG5" i="3"/>
  <c r="AH5" i="3"/>
  <c r="AI5" i="3"/>
  <c r="AJ5" i="3"/>
  <c r="AK5" i="3"/>
  <c r="Z6" i="3"/>
  <c r="AA6" i="3"/>
  <c r="AB6" i="3"/>
  <c r="AC6" i="3"/>
  <c r="AD6" i="3"/>
  <c r="AE6" i="3"/>
  <c r="AF6" i="3"/>
  <c r="AG6" i="3"/>
  <c r="AH6" i="3"/>
  <c r="AI6" i="3"/>
  <c r="AJ6" i="3"/>
  <c r="AK6" i="3"/>
  <c r="Z7" i="3"/>
  <c r="AA7" i="3"/>
  <c r="AB7" i="3"/>
  <c r="AC7" i="3"/>
  <c r="AD7" i="3"/>
  <c r="AE7" i="3"/>
  <c r="AF7" i="3"/>
  <c r="AG7" i="3"/>
  <c r="AH7" i="3"/>
  <c r="AI7" i="3"/>
  <c r="AJ7" i="3"/>
  <c r="AK7" i="3"/>
  <c r="Z8" i="3"/>
  <c r="AA8" i="3"/>
  <c r="AB8" i="3"/>
  <c r="AC8" i="3"/>
  <c r="AD8" i="3"/>
  <c r="AE8" i="3"/>
  <c r="AF8" i="3"/>
  <c r="AG8" i="3"/>
  <c r="AH8" i="3"/>
  <c r="AI8" i="3"/>
  <c r="AJ8" i="3"/>
  <c r="AK8" i="3"/>
  <c r="Z9" i="3"/>
  <c r="AA9" i="3"/>
  <c r="AB9" i="3"/>
  <c r="AC9" i="3"/>
  <c r="AD9" i="3"/>
  <c r="AE9" i="3"/>
  <c r="AF9" i="3"/>
  <c r="AG9" i="3"/>
  <c r="AH9" i="3"/>
  <c r="AI9" i="3"/>
  <c r="AJ9" i="3"/>
  <c r="AK9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A4" i="3"/>
  <c r="AB4" i="3"/>
  <c r="AC4" i="3"/>
  <c r="AD4" i="3"/>
  <c r="AE4" i="3"/>
  <c r="AF4" i="3"/>
  <c r="AG4" i="3"/>
  <c r="AH4" i="3"/>
  <c r="AH3" i="3" s="1"/>
  <c r="AI4" i="3"/>
  <c r="AJ4" i="3"/>
  <c r="AK4" i="3"/>
  <c r="Z4" i="3"/>
  <c r="Z3" i="3" s="1"/>
  <c r="N5" i="3"/>
  <c r="O5" i="3"/>
  <c r="P5" i="3"/>
  <c r="Q5" i="3"/>
  <c r="R5" i="3"/>
  <c r="S5" i="3"/>
  <c r="T5" i="3"/>
  <c r="U5" i="3"/>
  <c r="V5" i="3"/>
  <c r="W5" i="3"/>
  <c r="X5" i="3"/>
  <c r="Y5" i="3"/>
  <c r="N6" i="3"/>
  <c r="O6" i="3"/>
  <c r="P6" i="3"/>
  <c r="Q6" i="3"/>
  <c r="R6" i="3"/>
  <c r="S6" i="3"/>
  <c r="T6" i="3"/>
  <c r="U6" i="3"/>
  <c r="V6" i="3"/>
  <c r="W6" i="3"/>
  <c r="X6" i="3"/>
  <c r="Y6" i="3"/>
  <c r="N7" i="3"/>
  <c r="O7" i="3"/>
  <c r="P7" i="3"/>
  <c r="Q7" i="3"/>
  <c r="R7" i="3"/>
  <c r="S7" i="3"/>
  <c r="T7" i="3"/>
  <c r="U7" i="3"/>
  <c r="V7" i="3"/>
  <c r="W7" i="3"/>
  <c r="X7" i="3"/>
  <c r="Y7" i="3"/>
  <c r="N8" i="3"/>
  <c r="O8" i="3"/>
  <c r="P8" i="3"/>
  <c r="Q8" i="3"/>
  <c r="R8" i="3"/>
  <c r="S8" i="3"/>
  <c r="T8" i="3"/>
  <c r="U8" i="3"/>
  <c r="V8" i="3"/>
  <c r="W8" i="3"/>
  <c r="X8" i="3"/>
  <c r="Y8" i="3"/>
  <c r="N9" i="3"/>
  <c r="O9" i="3"/>
  <c r="P9" i="3"/>
  <c r="Q9" i="3"/>
  <c r="R9" i="3"/>
  <c r="S9" i="3"/>
  <c r="T9" i="3"/>
  <c r="U9" i="3"/>
  <c r="V9" i="3"/>
  <c r="W9" i="3"/>
  <c r="X9" i="3"/>
  <c r="Y9" i="3"/>
  <c r="N10" i="3"/>
  <c r="O10" i="3"/>
  <c r="P10" i="3"/>
  <c r="Q10" i="3"/>
  <c r="R10" i="3"/>
  <c r="S10" i="3"/>
  <c r="T10" i="3"/>
  <c r="U10" i="3"/>
  <c r="V10" i="3"/>
  <c r="W10" i="3"/>
  <c r="X10" i="3"/>
  <c r="Y10" i="3"/>
  <c r="N11" i="3"/>
  <c r="O11" i="3"/>
  <c r="P11" i="3"/>
  <c r="Q11" i="3"/>
  <c r="R11" i="3"/>
  <c r="S11" i="3"/>
  <c r="T11" i="3"/>
  <c r="U11" i="3"/>
  <c r="V11" i="3"/>
  <c r="W11" i="3"/>
  <c r="X11" i="3"/>
  <c r="Y11" i="3"/>
  <c r="N12" i="3"/>
  <c r="O12" i="3"/>
  <c r="P12" i="3"/>
  <c r="Q12" i="3"/>
  <c r="R12" i="3"/>
  <c r="S12" i="3"/>
  <c r="T12" i="3"/>
  <c r="U12" i="3"/>
  <c r="V12" i="3"/>
  <c r="W12" i="3"/>
  <c r="X12" i="3"/>
  <c r="Y12" i="3"/>
  <c r="N13" i="3"/>
  <c r="O13" i="3"/>
  <c r="P13" i="3"/>
  <c r="Q13" i="3"/>
  <c r="R13" i="3"/>
  <c r="S13" i="3"/>
  <c r="T13" i="3"/>
  <c r="U13" i="3"/>
  <c r="V13" i="3"/>
  <c r="W13" i="3"/>
  <c r="X13" i="3"/>
  <c r="Y13" i="3"/>
  <c r="N14" i="3"/>
  <c r="O14" i="3"/>
  <c r="P14" i="3"/>
  <c r="Q14" i="3"/>
  <c r="R14" i="3"/>
  <c r="S14" i="3"/>
  <c r="T14" i="3"/>
  <c r="U14" i="3"/>
  <c r="V14" i="3"/>
  <c r="W14" i="3"/>
  <c r="X14" i="3"/>
  <c r="Y14" i="3"/>
  <c r="N15" i="3"/>
  <c r="O15" i="3"/>
  <c r="P15" i="3"/>
  <c r="Q15" i="3"/>
  <c r="R15" i="3"/>
  <c r="S15" i="3"/>
  <c r="T15" i="3"/>
  <c r="U15" i="3"/>
  <c r="V15" i="3"/>
  <c r="W15" i="3"/>
  <c r="X15" i="3"/>
  <c r="Y15" i="3"/>
  <c r="N16" i="3"/>
  <c r="O16" i="3"/>
  <c r="P16" i="3"/>
  <c r="Q16" i="3"/>
  <c r="R16" i="3"/>
  <c r="S16" i="3"/>
  <c r="T16" i="3"/>
  <c r="U16" i="3"/>
  <c r="V16" i="3"/>
  <c r="W16" i="3"/>
  <c r="X16" i="3"/>
  <c r="Y16" i="3"/>
  <c r="N17" i="3"/>
  <c r="O17" i="3"/>
  <c r="P17" i="3"/>
  <c r="Q17" i="3"/>
  <c r="R17" i="3"/>
  <c r="S17" i="3"/>
  <c r="T17" i="3"/>
  <c r="U17" i="3"/>
  <c r="V17" i="3"/>
  <c r="W17" i="3"/>
  <c r="X17" i="3"/>
  <c r="Y17" i="3"/>
  <c r="N18" i="3"/>
  <c r="O18" i="3"/>
  <c r="P18" i="3"/>
  <c r="Q18" i="3"/>
  <c r="R18" i="3"/>
  <c r="S18" i="3"/>
  <c r="T18" i="3"/>
  <c r="U18" i="3"/>
  <c r="V18" i="3"/>
  <c r="W18" i="3"/>
  <c r="X18" i="3"/>
  <c r="Y18" i="3"/>
  <c r="O4" i="3"/>
  <c r="P4" i="3"/>
  <c r="Q4" i="3"/>
  <c r="R4" i="3"/>
  <c r="S4" i="3"/>
  <c r="T4" i="3"/>
  <c r="U4" i="3"/>
  <c r="V4" i="3"/>
  <c r="W4" i="3"/>
  <c r="X4" i="3"/>
  <c r="Y4" i="3"/>
  <c r="N4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M6" i="3"/>
  <c r="L6" i="3"/>
  <c r="K6" i="3"/>
  <c r="J6" i="3"/>
  <c r="I6" i="3"/>
  <c r="H6" i="3"/>
  <c r="G6" i="3"/>
  <c r="F6" i="3"/>
  <c r="E6" i="3"/>
  <c r="D6" i="3"/>
  <c r="C6" i="3"/>
  <c r="B6" i="3"/>
  <c r="M5" i="3"/>
  <c r="L5" i="3"/>
  <c r="K5" i="3"/>
  <c r="J5" i="3"/>
  <c r="I5" i="3"/>
  <c r="H5" i="3"/>
  <c r="G5" i="3"/>
  <c r="F5" i="3"/>
  <c r="E5" i="3"/>
  <c r="D5" i="3"/>
  <c r="C5" i="3"/>
  <c r="B5" i="3"/>
  <c r="C4" i="3"/>
  <c r="AY4" i="3" s="1"/>
  <c r="D4" i="3"/>
  <c r="E4" i="3"/>
  <c r="F4" i="3"/>
  <c r="G4" i="3"/>
  <c r="H4" i="3"/>
  <c r="I4" i="3"/>
  <c r="J4" i="3"/>
  <c r="K4" i="3"/>
  <c r="L4" i="3"/>
  <c r="M4" i="3"/>
  <c r="B4" i="3"/>
  <c r="DF4" i="6"/>
  <c r="DG4" i="6"/>
  <c r="DH4" i="6"/>
  <c r="DI4" i="6"/>
  <c r="DJ4" i="6"/>
  <c r="DK4" i="6"/>
  <c r="DL4" i="6"/>
  <c r="DM4" i="6"/>
  <c r="DN4" i="6"/>
  <c r="DO4" i="6"/>
  <c r="DP4" i="6"/>
  <c r="DQ4" i="6"/>
  <c r="DF5" i="6"/>
  <c r="DG5" i="6"/>
  <c r="DH5" i="6"/>
  <c r="DI5" i="6"/>
  <c r="DJ5" i="6"/>
  <c r="DK5" i="6"/>
  <c r="DL5" i="6"/>
  <c r="DM5" i="6"/>
  <c r="DN5" i="6"/>
  <c r="DO5" i="6"/>
  <c r="DP5" i="6"/>
  <c r="DQ5" i="6"/>
  <c r="DF6" i="6"/>
  <c r="DG6" i="6"/>
  <c r="DH6" i="6"/>
  <c r="DI6" i="6"/>
  <c r="DJ6" i="6"/>
  <c r="DK6" i="6"/>
  <c r="DL6" i="6"/>
  <c r="DM6" i="6"/>
  <c r="DN6" i="6"/>
  <c r="DO6" i="6"/>
  <c r="DP6" i="6"/>
  <c r="DQ6" i="6"/>
  <c r="DF7" i="6"/>
  <c r="DG7" i="6"/>
  <c r="DH7" i="6"/>
  <c r="DI7" i="6"/>
  <c r="DJ7" i="6"/>
  <c r="DK7" i="6"/>
  <c r="DL7" i="6"/>
  <c r="DM7" i="6"/>
  <c r="DN7" i="6"/>
  <c r="DO7" i="6"/>
  <c r="DP7" i="6"/>
  <c r="DQ7" i="6"/>
  <c r="DF8" i="6"/>
  <c r="DG8" i="6"/>
  <c r="DH8" i="6"/>
  <c r="DI8" i="6"/>
  <c r="DJ8" i="6"/>
  <c r="DK8" i="6"/>
  <c r="DL8" i="6"/>
  <c r="DM8" i="6"/>
  <c r="DN8" i="6"/>
  <c r="DO8" i="6"/>
  <c r="DP8" i="6"/>
  <c r="DQ8" i="6"/>
  <c r="DF9" i="6"/>
  <c r="DG9" i="6"/>
  <c r="DH9" i="6"/>
  <c r="DI9" i="6"/>
  <c r="DJ9" i="6"/>
  <c r="DK9" i="6"/>
  <c r="DL9" i="6"/>
  <c r="DM9" i="6"/>
  <c r="DN9" i="6"/>
  <c r="DO9" i="6"/>
  <c r="DP9" i="6"/>
  <c r="DQ9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K4" i="8"/>
  <c r="W4" i="8" s="1"/>
  <c r="M4" i="8"/>
  <c r="P4" i="8"/>
  <c r="T4" i="8"/>
  <c r="V4" i="8"/>
  <c r="K5" i="8"/>
  <c r="M5" i="8"/>
  <c r="P5" i="8"/>
  <c r="T5" i="8"/>
  <c r="V5" i="8"/>
  <c r="K6" i="8"/>
  <c r="M6" i="8"/>
  <c r="P6" i="8"/>
  <c r="T6" i="8"/>
  <c r="V6" i="8"/>
  <c r="K7" i="8"/>
  <c r="W7" i="8" s="1"/>
  <c r="M7" i="8"/>
  <c r="P7" i="8"/>
  <c r="T7" i="8"/>
  <c r="V7" i="8"/>
  <c r="K8" i="8"/>
  <c r="W8" i="8" s="1"/>
  <c r="M8" i="8"/>
  <c r="P8" i="8"/>
  <c r="T8" i="8"/>
  <c r="V8" i="8"/>
  <c r="K9" i="8"/>
  <c r="M9" i="8"/>
  <c r="P9" i="8"/>
  <c r="T9" i="8"/>
  <c r="V9" i="8"/>
  <c r="K10" i="8"/>
  <c r="M10" i="8"/>
  <c r="P10" i="8"/>
  <c r="T10" i="8"/>
  <c r="V10" i="8"/>
  <c r="K11" i="8"/>
  <c r="W11" i="8" s="1"/>
  <c r="M11" i="8"/>
  <c r="P11" i="8"/>
  <c r="T11" i="8"/>
  <c r="V11" i="8"/>
  <c r="K12" i="8"/>
  <c r="W12" i="8" s="1"/>
  <c r="M12" i="8"/>
  <c r="P12" i="8"/>
  <c r="T12" i="8"/>
  <c r="V12" i="8"/>
  <c r="K13" i="8"/>
  <c r="M13" i="8"/>
  <c r="P13" i="8"/>
  <c r="T13" i="8"/>
  <c r="V13" i="8"/>
  <c r="K14" i="8"/>
  <c r="M14" i="8"/>
  <c r="P14" i="8"/>
  <c r="T14" i="8"/>
  <c r="V14" i="8"/>
  <c r="K15" i="8"/>
  <c r="W15" i="8" s="1"/>
  <c r="M15" i="8"/>
  <c r="P15" i="8"/>
  <c r="T15" i="8"/>
  <c r="V15" i="8"/>
  <c r="K16" i="8"/>
  <c r="W16" i="8" s="1"/>
  <c r="M16" i="8"/>
  <c r="P16" i="8"/>
  <c r="T16" i="8"/>
  <c r="V16" i="8"/>
  <c r="K17" i="8"/>
  <c r="M17" i="8"/>
  <c r="P17" i="8"/>
  <c r="T17" i="8"/>
  <c r="V17" i="8"/>
  <c r="K18" i="8"/>
  <c r="M18" i="8"/>
  <c r="P18" i="8"/>
  <c r="T18" i="8"/>
  <c r="V18" i="8"/>
  <c r="W5" i="8"/>
  <c r="W6" i="8"/>
  <c r="W9" i="8"/>
  <c r="W10" i="8"/>
  <c r="W13" i="8"/>
  <c r="W14" i="8"/>
  <c r="W17" i="8"/>
  <c r="W18" i="8"/>
  <c r="W3" i="8"/>
  <c r="V3" i="8"/>
  <c r="T3" i="8"/>
  <c r="P3" i="8"/>
  <c r="M3" i="8"/>
  <c r="K3" i="8"/>
  <c r="Y3" i="3" l="1"/>
  <c r="S3" i="3"/>
  <c r="AB3" i="3"/>
  <c r="AG3" i="3"/>
  <c r="AA3" i="3"/>
  <c r="AD3" i="3"/>
  <c r="AE3" i="3"/>
  <c r="AF3" i="3"/>
  <c r="AJ3" i="3"/>
  <c r="AC3" i="3"/>
  <c r="AK3" i="3"/>
  <c r="BE14" i="3"/>
  <c r="AX4" i="3"/>
  <c r="BA4" i="3"/>
  <c r="BB4" i="3"/>
  <c r="BE4" i="3"/>
  <c r="BF4" i="3"/>
  <c r="BH4" i="3"/>
  <c r="BI4" i="3"/>
  <c r="BA5" i="3"/>
  <c r="BC5" i="3"/>
  <c r="BD5" i="3"/>
  <c r="BE5" i="3"/>
  <c r="BG5" i="3"/>
  <c r="BH5" i="3"/>
  <c r="BI5" i="3"/>
  <c r="BA6" i="3"/>
  <c r="BC6" i="3"/>
  <c r="BD6" i="3"/>
  <c r="BG6" i="3"/>
  <c r="BH6" i="3"/>
  <c r="BI6" i="3"/>
  <c r="BA7" i="3"/>
  <c r="BB7" i="3"/>
  <c r="BE7" i="3"/>
  <c r="BF7" i="3"/>
  <c r="BI7" i="3"/>
  <c r="BA8" i="3"/>
  <c r="BB8" i="3"/>
  <c r="BD8" i="3"/>
  <c r="BE8" i="3"/>
  <c r="BF8" i="3"/>
  <c r="BH8" i="3"/>
  <c r="BI8" i="3"/>
  <c r="BA9" i="3"/>
  <c r="BC9" i="3"/>
  <c r="BD9" i="3"/>
  <c r="BE9" i="3"/>
  <c r="BG9" i="3"/>
  <c r="BH9" i="3"/>
  <c r="BI9" i="3"/>
  <c r="BC10" i="3"/>
  <c r="BD10" i="3"/>
  <c r="BG10" i="3"/>
  <c r="BH10" i="3"/>
  <c r="BA11" i="3"/>
  <c r="BB11" i="3"/>
  <c r="BD11" i="3"/>
  <c r="BE11" i="3"/>
  <c r="BF11" i="3"/>
  <c r="BI11" i="3"/>
  <c r="BA12" i="3"/>
  <c r="BB12" i="3"/>
  <c r="BD12" i="3"/>
  <c r="BE12" i="3"/>
  <c r="BF12" i="3"/>
  <c r="BH12" i="3"/>
  <c r="BI12" i="3"/>
  <c r="BA13" i="3"/>
  <c r="BC13" i="3"/>
  <c r="BD13" i="3"/>
  <c r="BE13" i="3"/>
  <c r="BG13" i="3"/>
  <c r="BH13" i="3"/>
  <c r="BI13" i="3"/>
  <c r="BC14" i="3"/>
  <c r="BD14" i="3"/>
  <c r="BG14" i="3"/>
  <c r="BH14" i="3"/>
  <c r="BA15" i="3"/>
  <c r="BB15" i="3"/>
  <c r="BE15" i="3"/>
  <c r="BF15" i="3"/>
  <c r="BI15" i="3"/>
  <c r="BA16" i="3"/>
  <c r="BB16" i="3"/>
  <c r="BD16" i="3"/>
  <c r="BE16" i="3"/>
  <c r="BF16" i="3"/>
  <c r="BH16" i="3"/>
  <c r="BI16" i="3"/>
  <c r="BA17" i="3"/>
  <c r="BC17" i="3"/>
  <c r="BD17" i="3"/>
  <c r="BE17" i="3"/>
  <c r="BG17" i="3"/>
  <c r="BH17" i="3"/>
  <c r="BI17" i="3"/>
  <c r="BC18" i="3"/>
  <c r="BD18" i="3"/>
  <c r="BG18" i="3"/>
  <c r="BH18" i="3"/>
  <c r="BI18" i="3"/>
  <c r="AZ5" i="3"/>
  <c r="AZ6" i="3"/>
  <c r="AZ7" i="3"/>
  <c r="AZ9" i="3"/>
  <c r="AZ10" i="3"/>
  <c r="AZ11" i="3"/>
  <c r="AZ13" i="3"/>
  <c r="AZ14" i="3"/>
  <c r="AZ15" i="3"/>
  <c r="AZ17" i="3"/>
  <c r="AZ18" i="3"/>
  <c r="AZ4" i="3"/>
  <c r="AY5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AX7" i="3"/>
  <c r="AX8" i="3"/>
  <c r="AX11" i="3"/>
  <c r="AX12" i="3"/>
  <c r="AX15" i="3"/>
  <c r="AX16" i="3"/>
  <c r="AX18" i="3"/>
  <c r="N3" i="3"/>
  <c r="BH15" i="3"/>
  <c r="BD15" i="3"/>
  <c r="BH11" i="3"/>
  <c r="BH7" i="3"/>
  <c r="BD7" i="3"/>
  <c r="AZ16" i="3"/>
  <c r="AZ12" i="3"/>
  <c r="AZ8" i="3"/>
  <c r="BD4" i="3"/>
  <c r="BE18" i="3"/>
  <c r="BA18" i="3"/>
  <c r="BG16" i="3"/>
  <c r="BC16" i="3"/>
  <c r="BI14" i="3"/>
  <c r="BA14" i="3"/>
  <c r="BG12" i="3"/>
  <c r="BC12" i="3"/>
  <c r="BI10" i="3"/>
  <c r="BE10" i="3"/>
  <c r="BA10" i="3"/>
  <c r="BG8" i="3"/>
  <c r="BC8" i="3"/>
  <c r="BE6" i="3"/>
  <c r="AX10" i="3"/>
  <c r="BF18" i="3"/>
  <c r="BF10" i="3"/>
  <c r="AX17" i="3"/>
  <c r="AX13" i="3"/>
  <c r="AX9" i="3"/>
  <c r="AX5" i="3"/>
  <c r="BF17" i="3"/>
  <c r="BB17" i="3"/>
  <c r="BF13" i="3"/>
  <c r="BB13" i="3"/>
  <c r="BF9" i="3"/>
  <c r="BB9" i="3"/>
  <c r="BF5" i="3"/>
  <c r="BB5" i="3"/>
  <c r="BG4" i="3"/>
  <c r="BC4" i="3"/>
  <c r="B3" i="3"/>
  <c r="BG15" i="3"/>
  <c r="BC15" i="3"/>
  <c r="BG11" i="3"/>
  <c r="BC11" i="3"/>
  <c r="BG7" i="3"/>
  <c r="BC7" i="3"/>
  <c r="AX14" i="3"/>
  <c r="AX6" i="3"/>
  <c r="BB18" i="3"/>
  <c r="BF14" i="3"/>
  <c r="BB14" i="3"/>
  <c r="BB10" i="3"/>
  <c r="BF6" i="3"/>
  <c r="BB6" i="3"/>
  <c r="Q3" i="3"/>
  <c r="X3" i="3"/>
  <c r="T3" i="3"/>
  <c r="P3" i="3"/>
  <c r="O3" i="3"/>
  <c r="V3" i="3"/>
  <c r="R3" i="3"/>
  <c r="AI3" i="3"/>
  <c r="W3" i="3"/>
  <c r="U3" i="3"/>
  <c r="DR16" i="6"/>
  <c r="DR8" i="6"/>
  <c r="DR9" i="6"/>
  <c r="DR17" i="6"/>
  <c r="DR13" i="6"/>
  <c r="DR12" i="6"/>
  <c r="DR7" i="6"/>
  <c r="DR15" i="6"/>
  <c r="DR11" i="6"/>
  <c r="DR18" i="6"/>
  <c r="DR14" i="6"/>
  <c r="DR10" i="6"/>
  <c r="DR6" i="6"/>
  <c r="DR5" i="6"/>
  <c r="DR4" i="6"/>
  <c r="C3" i="8"/>
  <c r="B3" i="8"/>
  <c r="J3" i="8"/>
  <c r="I3" i="8"/>
  <c r="H3" i="8"/>
  <c r="G3" i="8"/>
  <c r="F3" i="8"/>
  <c r="E3" i="8"/>
  <c r="D3" i="8"/>
  <c r="C3" i="9" l="1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B3" i="9"/>
  <c r="Y18" i="9"/>
  <c r="X18" i="9"/>
  <c r="W18" i="9"/>
  <c r="V18" i="9"/>
  <c r="U18" i="9"/>
  <c r="T18" i="9"/>
  <c r="S18" i="9"/>
  <c r="R18" i="9"/>
  <c r="Q18" i="9"/>
  <c r="P18" i="9"/>
  <c r="O18" i="9"/>
  <c r="N18" i="9"/>
  <c r="Y17" i="9"/>
  <c r="X17" i="9"/>
  <c r="W17" i="9"/>
  <c r="V17" i="9"/>
  <c r="U17" i="9"/>
  <c r="T17" i="9"/>
  <c r="S17" i="9"/>
  <c r="R17" i="9"/>
  <c r="Q17" i="9"/>
  <c r="P17" i="9"/>
  <c r="O17" i="9"/>
  <c r="N17" i="9"/>
  <c r="Y16" i="9"/>
  <c r="X16" i="9"/>
  <c r="W16" i="9"/>
  <c r="V16" i="9"/>
  <c r="U16" i="9"/>
  <c r="T16" i="9"/>
  <c r="S16" i="9"/>
  <c r="R16" i="9"/>
  <c r="Q16" i="9"/>
  <c r="P16" i="9"/>
  <c r="O16" i="9"/>
  <c r="N16" i="9"/>
  <c r="Y15" i="9"/>
  <c r="X15" i="9"/>
  <c r="W15" i="9"/>
  <c r="V15" i="9"/>
  <c r="U15" i="9"/>
  <c r="T15" i="9"/>
  <c r="S15" i="9"/>
  <c r="R15" i="9"/>
  <c r="Q15" i="9"/>
  <c r="P15" i="9"/>
  <c r="O15" i="9"/>
  <c r="N15" i="9"/>
  <c r="Y14" i="9"/>
  <c r="X14" i="9"/>
  <c r="W14" i="9"/>
  <c r="V14" i="9"/>
  <c r="U14" i="9"/>
  <c r="T14" i="9"/>
  <c r="S14" i="9"/>
  <c r="R14" i="9"/>
  <c r="Q14" i="9"/>
  <c r="P14" i="9"/>
  <c r="O14" i="9"/>
  <c r="N14" i="9"/>
  <c r="Y13" i="9"/>
  <c r="X13" i="9"/>
  <c r="W13" i="9"/>
  <c r="V13" i="9"/>
  <c r="U13" i="9"/>
  <c r="T13" i="9"/>
  <c r="S13" i="9"/>
  <c r="R13" i="9"/>
  <c r="Q13" i="9"/>
  <c r="P13" i="9"/>
  <c r="O13" i="9"/>
  <c r="N13" i="9"/>
  <c r="Y12" i="9"/>
  <c r="X12" i="9"/>
  <c r="W12" i="9"/>
  <c r="V12" i="9"/>
  <c r="U12" i="9"/>
  <c r="T12" i="9"/>
  <c r="S12" i="9"/>
  <c r="R12" i="9"/>
  <c r="Q12" i="9"/>
  <c r="P12" i="9"/>
  <c r="O12" i="9"/>
  <c r="N12" i="9"/>
  <c r="Y11" i="9"/>
  <c r="X11" i="9"/>
  <c r="W11" i="9"/>
  <c r="V11" i="9"/>
  <c r="U11" i="9"/>
  <c r="T11" i="9"/>
  <c r="S11" i="9"/>
  <c r="R11" i="9"/>
  <c r="Q11" i="9"/>
  <c r="P11" i="9"/>
  <c r="O11" i="9"/>
  <c r="N11" i="9"/>
  <c r="Y10" i="9"/>
  <c r="X10" i="9"/>
  <c r="W10" i="9"/>
  <c r="V10" i="9"/>
  <c r="U10" i="9"/>
  <c r="T10" i="9"/>
  <c r="S10" i="9"/>
  <c r="R10" i="9"/>
  <c r="Q10" i="9"/>
  <c r="P10" i="9"/>
  <c r="O10" i="9"/>
  <c r="N10" i="9"/>
  <c r="Y9" i="9"/>
  <c r="X9" i="9"/>
  <c r="W9" i="9"/>
  <c r="V9" i="9"/>
  <c r="U9" i="9"/>
  <c r="T9" i="9"/>
  <c r="S9" i="9"/>
  <c r="R9" i="9"/>
  <c r="Q9" i="9"/>
  <c r="P9" i="9"/>
  <c r="O9" i="9"/>
  <c r="N9" i="9"/>
  <c r="Y8" i="9"/>
  <c r="X8" i="9"/>
  <c r="W8" i="9"/>
  <c r="V8" i="9"/>
  <c r="U8" i="9"/>
  <c r="T8" i="9"/>
  <c r="S8" i="9"/>
  <c r="R8" i="9"/>
  <c r="Q8" i="9"/>
  <c r="P8" i="9"/>
  <c r="O8" i="9"/>
  <c r="N8" i="9"/>
  <c r="Y7" i="9"/>
  <c r="X7" i="9"/>
  <c r="W7" i="9"/>
  <c r="V7" i="9"/>
  <c r="U7" i="9"/>
  <c r="T7" i="9"/>
  <c r="S7" i="9"/>
  <c r="R7" i="9"/>
  <c r="Q7" i="9"/>
  <c r="P7" i="9"/>
  <c r="O7" i="9"/>
  <c r="N7" i="9"/>
  <c r="X6" i="9"/>
  <c r="W6" i="9"/>
  <c r="V6" i="9"/>
  <c r="T6" i="9"/>
  <c r="S6" i="9"/>
  <c r="R6" i="9"/>
  <c r="P6" i="9"/>
  <c r="O6" i="9"/>
  <c r="N6" i="9"/>
  <c r="Y5" i="9"/>
  <c r="X5" i="9"/>
  <c r="W5" i="9"/>
  <c r="V5" i="9"/>
  <c r="U5" i="9"/>
  <c r="T5" i="9"/>
  <c r="S5" i="9"/>
  <c r="R5" i="9"/>
  <c r="Q5" i="9"/>
  <c r="P5" i="9"/>
  <c r="O5" i="9"/>
  <c r="N5" i="9"/>
  <c r="Y4" i="9"/>
  <c r="X4" i="9"/>
  <c r="V4" i="9"/>
  <c r="U4" i="9"/>
  <c r="T4" i="9"/>
  <c r="S4" i="9"/>
  <c r="R4" i="9"/>
  <c r="Q4" i="9"/>
  <c r="P4" i="9"/>
  <c r="O4" i="9"/>
  <c r="N4" i="9"/>
  <c r="DQ3" i="6" l="1"/>
  <c r="DP3" i="6"/>
  <c r="DI3" i="6"/>
  <c r="DJ3" i="6"/>
  <c r="DK3" i="6"/>
  <c r="DM3" i="6"/>
  <c r="DN3" i="6"/>
  <c r="DO3" i="6"/>
  <c r="DL3" i="6"/>
  <c r="DH3" i="6"/>
  <c r="DG3" i="6"/>
  <c r="DF3" i="6"/>
  <c r="Z5" i="9"/>
  <c r="Z7" i="9"/>
  <c r="Z8" i="9"/>
  <c r="Z9" i="9"/>
  <c r="Z10" i="9"/>
  <c r="Z11" i="9"/>
  <c r="Z12" i="9"/>
  <c r="Z13" i="9"/>
  <c r="Z14" i="9"/>
  <c r="Z15" i="9"/>
  <c r="Z16" i="9"/>
  <c r="Z17" i="9"/>
  <c r="Z18" i="9"/>
  <c r="W4" i="9"/>
  <c r="Q6" i="9"/>
  <c r="Z6" i="9" s="1"/>
  <c r="Y6" i="9"/>
  <c r="U6" i="9"/>
  <c r="H3" i="3"/>
  <c r="D3" i="3"/>
  <c r="J3" i="3"/>
  <c r="F3" i="3"/>
  <c r="K3" i="3"/>
  <c r="G3" i="3"/>
  <c r="L3" i="3"/>
  <c r="C3" i="3"/>
  <c r="M3" i="3"/>
  <c r="I3" i="3"/>
  <c r="E3" i="3"/>
  <c r="C143" i="1"/>
  <c r="B143" i="1"/>
  <c r="D141" i="1"/>
  <c r="D143" i="1" s="1"/>
  <c r="F143" i="1" s="1"/>
  <c r="C111" i="1"/>
  <c r="B111" i="1"/>
  <c r="D109" i="1"/>
  <c r="D111" i="1" s="1"/>
  <c r="C63" i="1"/>
  <c r="B63" i="1"/>
  <c r="D61" i="1"/>
  <c r="D63" i="1" s="1"/>
  <c r="C47" i="1"/>
  <c r="B47" i="1"/>
  <c r="D45" i="1"/>
  <c r="D47" i="1" s="1"/>
  <c r="DR3" i="6" l="1"/>
  <c r="Z4" i="9"/>
  <c r="BJ9" i="3"/>
  <c r="BG3" i="3"/>
  <c r="BC3" i="3"/>
  <c r="BI3" i="3"/>
  <c r="BE3" i="3"/>
  <c r="BA3" i="3"/>
  <c r="BH3" i="3"/>
  <c r="BD3" i="3"/>
  <c r="AZ3" i="3"/>
  <c r="AY3" i="3"/>
  <c r="BJ18" i="3"/>
  <c r="BF3" i="3"/>
  <c r="BB3" i="3"/>
  <c r="AX3" i="3"/>
  <c r="BJ13" i="3"/>
  <c r="BJ16" i="3"/>
  <c r="BJ15" i="3"/>
  <c r="BJ14" i="3"/>
  <c r="BJ17" i="3"/>
  <c r="BJ12" i="3"/>
  <c r="BJ11" i="3"/>
  <c r="BJ10" i="3"/>
  <c r="BJ5" i="3"/>
  <c r="BJ8" i="3"/>
  <c r="BJ7" i="3"/>
  <c r="BJ6" i="3"/>
  <c r="BJ4" i="3"/>
  <c r="E143" i="1"/>
  <c r="F141" i="1"/>
  <c r="E141" i="1"/>
  <c r="F109" i="1"/>
  <c r="F111" i="1"/>
  <c r="E111" i="1"/>
  <c r="E109" i="1"/>
  <c r="F61" i="1"/>
  <c r="F45" i="1"/>
  <c r="F63" i="1"/>
  <c r="E63" i="1"/>
  <c r="E61" i="1"/>
  <c r="F47" i="1"/>
  <c r="E47" i="1"/>
  <c r="E45" i="1"/>
  <c r="D93" i="1"/>
  <c r="E93" i="1" s="1"/>
  <c r="D77" i="1"/>
  <c r="E77" i="1" s="1"/>
  <c r="D157" i="1"/>
  <c r="E157" i="1" s="1"/>
  <c r="D189" i="1"/>
  <c r="F189" i="1" s="1"/>
  <c r="D13" i="1"/>
  <c r="E13" i="1" s="1"/>
  <c r="D173" i="1"/>
  <c r="E173" i="1" s="1"/>
  <c r="D125" i="1"/>
  <c r="F125" i="1" s="1"/>
  <c r="D29" i="1"/>
  <c r="F29" i="1" s="1"/>
  <c r="BJ3" i="3" l="1"/>
  <c r="F173" i="1"/>
  <c r="F157" i="1"/>
  <c r="E125" i="1"/>
  <c r="E189" i="1"/>
  <c r="F77" i="1"/>
  <c r="E29" i="1"/>
  <c r="F13" i="1"/>
  <c r="F93" i="1"/>
  <c r="D79" i="1"/>
  <c r="D15" i="1"/>
  <c r="D175" i="1"/>
  <c r="D95" i="1"/>
  <c r="C95" i="1"/>
  <c r="B95" i="1"/>
  <c r="C79" i="1"/>
  <c r="B79" i="1"/>
  <c r="D159" i="1"/>
  <c r="C159" i="1"/>
  <c r="B159" i="1"/>
  <c r="D191" i="1"/>
  <c r="C191" i="1"/>
  <c r="B191" i="1"/>
  <c r="C15" i="1"/>
  <c r="B15" i="1"/>
  <c r="C175" i="1"/>
  <c r="B175" i="1"/>
  <c r="D127" i="1"/>
  <c r="C127" i="1"/>
  <c r="B127" i="1"/>
  <c r="E15" i="1" l="1"/>
  <c r="F191" i="1"/>
  <c r="E95" i="1"/>
  <c r="F175" i="1"/>
  <c r="F127" i="1"/>
  <c r="F95" i="1"/>
  <c r="E79" i="1"/>
  <c r="F79" i="1"/>
  <c r="E159" i="1"/>
  <c r="F159" i="1"/>
  <c r="E191" i="1"/>
  <c r="F15" i="1"/>
  <c r="E175" i="1"/>
  <c r="E127" i="1"/>
  <c r="B15" i="2"/>
  <c r="C31" i="1"/>
  <c r="B31" i="1"/>
  <c r="D31" i="1" l="1"/>
  <c r="E31" i="1" s="1"/>
  <c r="F3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D8A86D-2C1D-4D4B-B54E-608FE63CB6F2}" keepAlive="1" name="Consulta - Consulta1" description="Conexão com a consulta 'Consulta1' na pasta de trabalho." type="5" refreshedVersion="8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<sst xmlns="http://schemas.openxmlformats.org/spreadsheetml/2006/main" count="917" uniqueCount="74">
  <si>
    <t>Competencia 2025</t>
  </si>
  <si>
    <t>Mesquita</t>
  </si>
  <si>
    <t>%</t>
  </si>
  <si>
    <t>FALTA</t>
  </si>
  <si>
    <t>AGENDAMENTO</t>
  </si>
  <si>
    <t>Competencia 20/12 a 19/01</t>
  </si>
  <si>
    <t>Competencia 20/01 a 19/02</t>
  </si>
  <si>
    <t>Competencia 20/02 a 19/03</t>
  </si>
  <si>
    <t>Competencia 20/03 a 19/04</t>
  </si>
  <si>
    <t>Competencia 20/04 a 19/05</t>
  </si>
  <si>
    <t>Competencia 20/05 a 19/06</t>
  </si>
  <si>
    <t>Competencia 20/06 a 19/07</t>
  </si>
  <si>
    <t>Competencia 20/07 a 19/08</t>
  </si>
  <si>
    <t>Competencia 20/08 a 19/09</t>
  </si>
  <si>
    <t>Competencia 20/09 a 19/10</t>
  </si>
  <si>
    <t>Competencia 20/10 a 19/11</t>
  </si>
  <si>
    <t>Competencia 20/11 a 19/12</t>
  </si>
  <si>
    <t>TOTAL</t>
  </si>
  <si>
    <t>Realizados</t>
  </si>
  <si>
    <t>Competencia 2024</t>
  </si>
  <si>
    <t>JAP</t>
  </si>
  <si>
    <t>PACOTE PRÉ-OPERATÓRIO PEDIÁTRICO OTORRINO</t>
  </si>
  <si>
    <t>PACOTE PRÉ-OPERATÓRIO PEDIÁTRICO CIRURGIA GERAL</t>
  </si>
  <si>
    <t>PACOTE PRÉ-OPERATÓRIO PEDIÁTRICO OFTALMOLOGISTA</t>
  </si>
  <si>
    <t>AMIGDALECTOMIA COM ADENOIDECTOMIA - PEDIATRICO</t>
  </si>
  <si>
    <t>TRATAMENTO CIRÚRGICO DE PERFURAÇÃO DO SEPTO NASAL - PEDIATRICO</t>
  </si>
  <si>
    <t>CORREÇÃO CIRÚRGICA DE ESTRABISMO (ACIMA DE 2 MUSCULOS) - PEDIATRICO</t>
  </si>
  <si>
    <t>HERNIOPLASTIA INGUINAL (BILATERAL) - PEDIATRICO</t>
  </si>
  <si>
    <t>TRATAMENTO CIRÚRGICO DE HIDROCELE - PEDIATRICO</t>
  </si>
  <si>
    <t>CORRECAO DE HIPOSPADIA (1º TEMPO) - PEDIATRICO</t>
  </si>
  <si>
    <t>AMIGDALECTOMIA - PEDIATRICO</t>
  </si>
  <si>
    <t>HERNIOPLASTIA UMBILICAL - PEDIATRICO</t>
  </si>
  <si>
    <t>ORQUIDOPEXIA BILATERAL - PEDIATRICO</t>
  </si>
  <si>
    <t>PLASTICA TOTAL DO PENIS - PEDIATRICO</t>
  </si>
  <si>
    <t>POSTECTOMIA - PEDIATRICO</t>
  </si>
  <si>
    <t>Período</t>
  </si>
  <si>
    <t>NIG</t>
  </si>
  <si>
    <t>SERO</t>
  </si>
  <si>
    <t>QUEI</t>
  </si>
  <si>
    <t>BEL</t>
  </si>
  <si>
    <t>DUQ</t>
  </si>
  <si>
    <t>SJM</t>
  </si>
  <si>
    <t>MESQ</t>
  </si>
  <si>
    <t>NIL</t>
  </si>
  <si>
    <t>IT</t>
  </si>
  <si>
    <t>MAG</t>
  </si>
  <si>
    <t>PARA</t>
  </si>
  <si>
    <t>Duque de Caxias</t>
  </si>
  <si>
    <t>Nova Iguaçu</t>
  </si>
  <si>
    <t>Belford Roxo</t>
  </si>
  <si>
    <t>Seropedica</t>
  </si>
  <si>
    <t>Queimados</t>
  </si>
  <si>
    <t>Magé</t>
  </si>
  <si>
    <t>Japeri</t>
  </si>
  <si>
    <t>Itaguaí</t>
  </si>
  <si>
    <t>Nilópolis</t>
  </si>
  <si>
    <t>Paracambi</t>
  </si>
  <si>
    <t>neoma</t>
  </si>
  <si>
    <t>20/10 a 19/11 2025</t>
  </si>
  <si>
    <t>ADENOIDECTOMIA - PEDIÁTRICO</t>
  </si>
  <si>
    <t>20/09 a 19/10</t>
  </si>
  <si>
    <t>20/10 a 19/11 2024</t>
  </si>
  <si>
    <t>20/09 a 19/10 2024</t>
  </si>
  <si>
    <t>20/11 a 19/12 2024</t>
  </si>
  <si>
    <t>Sero</t>
  </si>
  <si>
    <t>Neomater</t>
  </si>
  <si>
    <t>Neotin</t>
  </si>
  <si>
    <t>Prontobaby</t>
  </si>
  <si>
    <t>Segvision</t>
  </si>
  <si>
    <t>20/11 a 14/12 2025</t>
  </si>
  <si>
    <t>14/12 a 19/01 2025</t>
  </si>
  <si>
    <t>20/01 a 19/02 2025</t>
  </si>
  <si>
    <t>20/02 a 19/03 2025</t>
  </si>
  <si>
    <t>20/03 a 19/04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</si>
</sst>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ABDB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2" xfId="0" applyBorder="1"/>
    <xf numFmtId="0" fontId="0" fillId="0" borderId="4" xfId="0" applyBorder="1"/>
    <xf numFmtId="0" fontId="2" fillId="0" borderId="5" xfId="0" applyFont="1" applyBorder="1"/>
    <xf numFmtId="0" fontId="0" fillId="0" borderId="3" xfId="0" applyBorder="1"/>
    <xf numFmtId="0" fontId="0" fillId="6" borderId="2" xfId="0" applyFill="1" applyBorder="1"/>
    <xf numFmtId="0" fontId="0" fillId="7" borderId="2" xfId="0" applyFill="1" applyBorder="1"/>
    <xf numFmtId="0" fontId="0" fillId="7" borderId="2" xfId="0" applyFill="1" applyBorder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91"/>
  <sheetViews>
    <sheetView workbookViewId="0">
      <selection activeCell="D134" sqref="D134"/>
    </sheetView>
  </sheetViews>
  <sheetFormatPr defaultRowHeight="15" x14ac:dyDescent="0.25"/>
  <cols>
    <col min="1" max="1" width="30.140625" customWidth="1"/>
    <col min="2" max="4" width="16.5703125" bestFit="1" customWidth="1"/>
    <col min="5" max="5" width="14.28515625" bestFit="1" customWidth="1"/>
    <col min="6" max="6" width="14.5703125" customWidth="1"/>
  </cols>
  <sheetData>
    <row r="1" spans="1:6" x14ac:dyDescent="0.25">
      <c r="A1" s="18" t="s">
        <v>0</v>
      </c>
      <c r="B1" s="1" t="s">
        <v>49</v>
      </c>
      <c r="C1" s="1" t="s">
        <v>49</v>
      </c>
      <c r="D1" s="1" t="s">
        <v>49</v>
      </c>
      <c r="E1" s="2" t="s">
        <v>2</v>
      </c>
      <c r="F1" s="2" t="s">
        <v>2</v>
      </c>
    </row>
    <row r="2" spans="1:6" x14ac:dyDescent="0.25">
      <c r="A2" s="19"/>
      <c r="B2" s="4" t="s">
        <v>18</v>
      </c>
      <c r="C2" s="3" t="s">
        <v>3</v>
      </c>
      <c r="D2" s="2" t="s">
        <v>4</v>
      </c>
      <c r="E2" s="2" t="s">
        <v>18</v>
      </c>
      <c r="F2" s="2" t="s">
        <v>3</v>
      </c>
    </row>
    <row r="3" spans="1:6" x14ac:dyDescent="0.25">
      <c r="A3" s="5" t="s">
        <v>5</v>
      </c>
      <c r="B3" s="6"/>
      <c r="C3" s="7"/>
      <c r="D3" s="2"/>
      <c r="E3" s="8"/>
      <c r="F3" s="8"/>
    </row>
    <row r="4" spans="1:6" x14ac:dyDescent="0.25">
      <c r="A4" s="5" t="s">
        <v>6</v>
      </c>
      <c r="B4" s="6"/>
      <c r="C4" s="7"/>
      <c r="D4" s="2"/>
      <c r="E4" s="8"/>
      <c r="F4" s="8"/>
    </row>
    <row r="5" spans="1:6" x14ac:dyDescent="0.25">
      <c r="A5" s="5" t="s">
        <v>7</v>
      </c>
      <c r="B5" s="6"/>
      <c r="C5" s="7"/>
      <c r="D5" s="2"/>
      <c r="E5" s="8"/>
      <c r="F5" s="8"/>
    </row>
    <row r="6" spans="1:6" x14ac:dyDescent="0.25">
      <c r="A6" s="5" t="s">
        <v>8</v>
      </c>
      <c r="B6" s="6"/>
      <c r="C6" s="7"/>
      <c r="D6" s="2"/>
      <c r="E6" s="8"/>
      <c r="F6" s="8"/>
    </row>
    <row r="7" spans="1:6" x14ac:dyDescent="0.25">
      <c r="A7" s="5" t="s">
        <v>9</v>
      </c>
      <c r="B7" s="6"/>
      <c r="C7" s="7"/>
      <c r="D7" s="2"/>
      <c r="E7" s="8"/>
      <c r="F7" s="8"/>
    </row>
    <row r="8" spans="1:6" x14ac:dyDescent="0.25">
      <c r="A8" s="5" t="s">
        <v>10</v>
      </c>
      <c r="B8" s="6"/>
      <c r="C8" s="7"/>
      <c r="D8" s="2"/>
      <c r="E8" s="8"/>
      <c r="F8" s="8"/>
    </row>
    <row r="9" spans="1:6" x14ac:dyDescent="0.25">
      <c r="A9" s="5" t="s">
        <v>11</v>
      </c>
      <c r="B9" s="6"/>
      <c r="C9" s="7"/>
      <c r="D9" s="2"/>
      <c r="E9" s="8"/>
      <c r="F9" s="8"/>
    </row>
    <row r="10" spans="1:6" x14ac:dyDescent="0.25">
      <c r="A10" s="5" t="s">
        <v>12</v>
      </c>
      <c r="B10" s="6"/>
      <c r="C10" s="7"/>
      <c r="D10" s="2"/>
      <c r="E10" s="8"/>
      <c r="F10" s="8"/>
    </row>
    <row r="11" spans="1:6" x14ac:dyDescent="0.25">
      <c r="A11" s="5" t="s">
        <v>13</v>
      </c>
      <c r="B11" s="6"/>
      <c r="C11" s="7"/>
      <c r="D11" s="2"/>
      <c r="E11" s="8"/>
      <c r="F11" s="8"/>
    </row>
    <row r="12" spans="1:6" x14ac:dyDescent="0.25">
      <c r="A12" s="5" t="s">
        <v>14</v>
      </c>
      <c r="B12" s="6"/>
      <c r="C12" s="7"/>
      <c r="D12" s="2"/>
      <c r="E12" s="8"/>
      <c r="F12" s="8"/>
    </row>
    <row r="13" spans="1:6" x14ac:dyDescent="0.25">
      <c r="A13" s="5" t="s">
        <v>15</v>
      </c>
      <c r="B13" s="6">
        <v>26</v>
      </c>
      <c r="C13" s="7">
        <v>2</v>
      </c>
      <c r="D13" s="2">
        <f>SUM(B13:C13)</f>
        <v>28</v>
      </c>
      <c r="E13" s="8">
        <f>B13/D13</f>
        <v>0.9285714285714286</v>
      </c>
      <c r="F13" s="8">
        <f>C13/D13</f>
        <v>7.1428571428571425E-2</v>
      </c>
    </row>
    <row r="14" spans="1:6" x14ac:dyDescent="0.25">
      <c r="A14" s="5" t="s">
        <v>16</v>
      </c>
      <c r="B14" s="6"/>
      <c r="C14" s="7"/>
      <c r="D14" s="2"/>
      <c r="E14" s="8"/>
      <c r="F14" s="8"/>
    </row>
    <row r="15" spans="1:6" x14ac:dyDescent="0.25">
      <c r="A15" s="9" t="s">
        <v>17</v>
      </c>
      <c r="B15" s="6">
        <f>SUM(B3:B14)</f>
        <v>26</v>
      </c>
      <c r="C15" s="7">
        <f>SUM(C3:C14)</f>
        <v>2</v>
      </c>
      <c r="D15" s="2">
        <f>SUM(D3:D14)</f>
        <v>28</v>
      </c>
      <c r="E15" s="8">
        <f>B15/D15</f>
        <v>0.9285714285714286</v>
      </c>
      <c r="F15" s="8">
        <f>C15/D15</f>
        <v>7.1428571428571425E-2</v>
      </c>
    </row>
    <row r="17" spans="1:6" x14ac:dyDescent="0.25">
      <c r="A17" s="18" t="s">
        <v>0</v>
      </c>
      <c r="B17" s="1" t="s">
        <v>47</v>
      </c>
      <c r="C17" s="1" t="s">
        <v>47</v>
      </c>
      <c r="D17" s="1" t="s">
        <v>47</v>
      </c>
      <c r="E17" s="2" t="s">
        <v>2</v>
      </c>
      <c r="F17" s="2" t="s">
        <v>2</v>
      </c>
    </row>
    <row r="18" spans="1:6" x14ac:dyDescent="0.25">
      <c r="A18" s="19"/>
      <c r="B18" s="4" t="s">
        <v>18</v>
      </c>
      <c r="C18" s="3" t="s">
        <v>3</v>
      </c>
      <c r="D18" s="2" t="s">
        <v>4</v>
      </c>
      <c r="E18" s="2" t="s">
        <v>18</v>
      </c>
      <c r="F18" s="2" t="s">
        <v>3</v>
      </c>
    </row>
    <row r="19" spans="1:6" x14ac:dyDescent="0.25">
      <c r="A19" s="5" t="s">
        <v>5</v>
      </c>
      <c r="B19" s="6"/>
      <c r="C19" s="7"/>
      <c r="D19" s="2"/>
      <c r="E19" s="8"/>
      <c r="F19" s="8"/>
    </row>
    <row r="20" spans="1:6" x14ac:dyDescent="0.25">
      <c r="A20" s="5" t="s">
        <v>6</v>
      </c>
      <c r="B20" s="6"/>
      <c r="C20" s="7"/>
      <c r="D20" s="2"/>
      <c r="E20" s="8"/>
      <c r="F20" s="8"/>
    </row>
    <row r="21" spans="1:6" x14ac:dyDescent="0.25">
      <c r="A21" s="5" t="s">
        <v>7</v>
      </c>
      <c r="B21" s="6"/>
      <c r="C21" s="7"/>
      <c r="D21" s="2"/>
      <c r="E21" s="8"/>
      <c r="F21" s="8"/>
    </row>
    <row r="22" spans="1:6" x14ac:dyDescent="0.25">
      <c r="A22" s="5" t="s">
        <v>8</v>
      </c>
      <c r="B22" s="6"/>
      <c r="C22" s="7"/>
      <c r="D22" s="2"/>
      <c r="E22" s="8"/>
      <c r="F22" s="8"/>
    </row>
    <row r="23" spans="1:6" x14ac:dyDescent="0.25">
      <c r="A23" s="5" t="s">
        <v>9</v>
      </c>
      <c r="B23" s="6"/>
      <c r="C23" s="7"/>
      <c r="D23" s="2"/>
      <c r="E23" s="8"/>
      <c r="F23" s="8"/>
    </row>
    <row r="24" spans="1:6" x14ac:dyDescent="0.25">
      <c r="A24" s="5" t="s">
        <v>10</v>
      </c>
      <c r="B24" s="6"/>
      <c r="C24" s="7"/>
      <c r="D24" s="2"/>
      <c r="E24" s="8"/>
      <c r="F24" s="8"/>
    </row>
    <row r="25" spans="1:6" x14ac:dyDescent="0.25">
      <c r="A25" s="5" t="s">
        <v>11</v>
      </c>
      <c r="B25" s="6"/>
      <c r="C25" s="7"/>
      <c r="D25" s="2"/>
      <c r="E25" s="8"/>
      <c r="F25" s="8"/>
    </row>
    <row r="26" spans="1:6" x14ac:dyDescent="0.25">
      <c r="A26" s="5" t="s">
        <v>12</v>
      </c>
      <c r="B26" s="6"/>
      <c r="C26" s="7"/>
      <c r="D26" s="2"/>
      <c r="E26" s="8"/>
      <c r="F26" s="8"/>
    </row>
    <row r="27" spans="1:6" x14ac:dyDescent="0.25">
      <c r="A27" s="5" t="s">
        <v>13</v>
      </c>
      <c r="B27" s="6"/>
      <c r="C27" s="7"/>
      <c r="D27" s="2"/>
      <c r="E27" s="8"/>
      <c r="F27" s="8"/>
    </row>
    <row r="28" spans="1:6" x14ac:dyDescent="0.25">
      <c r="A28" s="5" t="s">
        <v>14</v>
      </c>
      <c r="B28" s="6"/>
      <c r="C28" s="7"/>
      <c r="D28" s="2"/>
      <c r="E28" s="8"/>
      <c r="F28" s="8"/>
    </row>
    <row r="29" spans="1:6" x14ac:dyDescent="0.25">
      <c r="A29" s="5" t="s">
        <v>15</v>
      </c>
      <c r="B29" s="6">
        <v>17</v>
      </c>
      <c r="C29" s="7">
        <v>2</v>
      </c>
      <c r="D29" s="2">
        <f>SUM(B29:C29)</f>
        <v>19</v>
      </c>
      <c r="E29" s="8">
        <f>B29/D29</f>
        <v>0.89473684210526316</v>
      </c>
      <c r="F29" s="8">
        <f>C29/D29</f>
        <v>0.10526315789473684</v>
      </c>
    </row>
    <row r="30" spans="1:6" x14ac:dyDescent="0.25">
      <c r="A30" s="5" t="s">
        <v>16</v>
      </c>
      <c r="B30" s="6"/>
      <c r="C30" s="7"/>
      <c r="D30" s="2"/>
      <c r="E30" s="8"/>
      <c r="F30" s="8"/>
    </row>
    <row r="31" spans="1:6" x14ac:dyDescent="0.25">
      <c r="A31" s="9" t="s">
        <v>17</v>
      </c>
      <c r="B31" s="6">
        <f>SUM(B19:B30)</f>
        <v>17</v>
      </c>
      <c r="C31" s="7">
        <f>SUM(C19:C30)</f>
        <v>2</v>
      </c>
      <c r="D31" s="2">
        <f>SUM(D19:D30)</f>
        <v>19</v>
      </c>
      <c r="E31" s="8">
        <f>B31/D31</f>
        <v>0.89473684210526316</v>
      </c>
      <c r="F31" s="8">
        <f>C31/D31</f>
        <v>0.10526315789473684</v>
      </c>
    </row>
    <row r="33" spans="1:6" x14ac:dyDescent="0.25">
      <c r="A33" s="18" t="s">
        <v>0</v>
      </c>
      <c r="B33" s="1" t="s">
        <v>53</v>
      </c>
      <c r="C33" s="1" t="s">
        <v>53</v>
      </c>
      <c r="D33" s="1" t="s">
        <v>53</v>
      </c>
      <c r="E33" s="2" t="s">
        <v>2</v>
      </c>
      <c r="F33" s="2" t="s">
        <v>2</v>
      </c>
    </row>
    <row r="34" spans="1:6" x14ac:dyDescent="0.25">
      <c r="A34" s="19"/>
      <c r="B34" s="4" t="s">
        <v>18</v>
      </c>
      <c r="C34" s="3" t="s">
        <v>3</v>
      </c>
      <c r="D34" s="2" t="s">
        <v>4</v>
      </c>
      <c r="E34" s="2" t="s">
        <v>18</v>
      </c>
      <c r="F34" s="2" t="s">
        <v>3</v>
      </c>
    </row>
    <row r="35" spans="1:6" x14ac:dyDescent="0.25">
      <c r="A35" s="5" t="s">
        <v>5</v>
      </c>
      <c r="B35" s="6"/>
      <c r="C35" s="7"/>
      <c r="D35" s="2"/>
      <c r="E35" s="8"/>
      <c r="F35" s="8"/>
    </row>
    <row r="36" spans="1:6" x14ac:dyDescent="0.25">
      <c r="A36" s="5" t="s">
        <v>6</v>
      </c>
      <c r="B36" s="6"/>
      <c r="C36" s="7"/>
      <c r="D36" s="2"/>
      <c r="E36" s="8"/>
      <c r="F36" s="8"/>
    </row>
    <row r="37" spans="1:6" x14ac:dyDescent="0.25">
      <c r="A37" s="5" t="s">
        <v>7</v>
      </c>
      <c r="B37" s="6"/>
      <c r="C37" s="7"/>
      <c r="D37" s="2"/>
      <c r="E37" s="8"/>
      <c r="F37" s="8"/>
    </row>
    <row r="38" spans="1:6" x14ac:dyDescent="0.25">
      <c r="A38" s="5" t="s">
        <v>8</v>
      </c>
      <c r="B38" s="6"/>
      <c r="C38" s="7"/>
      <c r="D38" s="2"/>
      <c r="E38" s="8"/>
      <c r="F38" s="8"/>
    </row>
    <row r="39" spans="1:6" x14ac:dyDescent="0.25">
      <c r="A39" s="5" t="s">
        <v>9</v>
      </c>
      <c r="B39" s="6"/>
      <c r="C39" s="7"/>
      <c r="D39" s="2"/>
      <c r="E39" s="8"/>
      <c r="F39" s="8"/>
    </row>
    <row r="40" spans="1:6" x14ac:dyDescent="0.25">
      <c r="A40" s="5" t="s">
        <v>10</v>
      </c>
      <c r="B40" s="6"/>
      <c r="C40" s="7"/>
      <c r="D40" s="2"/>
      <c r="E40" s="8"/>
      <c r="F40" s="8"/>
    </row>
    <row r="41" spans="1:6" x14ac:dyDescent="0.25">
      <c r="A41" s="5" t="s">
        <v>11</v>
      </c>
      <c r="B41" s="6"/>
      <c r="C41" s="7"/>
      <c r="D41" s="2"/>
      <c r="E41" s="8"/>
      <c r="F41" s="8"/>
    </row>
    <row r="42" spans="1:6" x14ac:dyDescent="0.25">
      <c r="A42" s="5" t="s">
        <v>12</v>
      </c>
      <c r="B42" s="6"/>
      <c r="C42" s="7"/>
      <c r="D42" s="2"/>
      <c r="E42" s="8"/>
      <c r="F42" s="8"/>
    </row>
    <row r="43" spans="1:6" x14ac:dyDescent="0.25">
      <c r="A43" s="5" t="s">
        <v>13</v>
      </c>
      <c r="B43" s="6"/>
      <c r="C43" s="7"/>
      <c r="D43" s="2"/>
      <c r="E43" s="8"/>
      <c r="F43" s="8"/>
    </row>
    <row r="44" spans="1:6" x14ac:dyDescent="0.25">
      <c r="A44" s="5" t="s">
        <v>14</v>
      </c>
      <c r="B44" s="6"/>
      <c r="C44" s="7"/>
      <c r="D44" s="2"/>
      <c r="E44" s="8"/>
      <c r="F44" s="8"/>
    </row>
    <row r="45" spans="1:6" x14ac:dyDescent="0.25">
      <c r="A45" s="5" t="s">
        <v>15</v>
      </c>
      <c r="B45" s="6">
        <v>9</v>
      </c>
      <c r="C45" s="7"/>
      <c r="D45" s="2">
        <f>SUM(B45:C45)</f>
        <v>9</v>
      </c>
      <c r="E45" s="8">
        <f>B45/D45</f>
        <v>1</v>
      </c>
      <c r="F45" s="8">
        <f>C45/D45</f>
        <v>0</v>
      </c>
    </row>
    <row r="46" spans="1:6" x14ac:dyDescent="0.25">
      <c r="A46" s="5" t="s">
        <v>16</v>
      </c>
      <c r="B46" s="6"/>
      <c r="C46" s="7"/>
      <c r="D46" s="2"/>
      <c r="E46" s="8"/>
      <c r="F46" s="8"/>
    </row>
    <row r="47" spans="1:6" x14ac:dyDescent="0.25">
      <c r="A47" s="9" t="s">
        <v>17</v>
      </c>
      <c r="B47" s="6">
        <f>SUM(B35:B46)</f>
        <v>9</v>
      </c>
      <c r="C47" s="7">
        <f>SUM(C35:C46)</f>
        <v>0</v>
      </c>
      <c r="D47" s="2">
        <f>SUM(D35:D46)</f>
        <v>9</v>
      </c>
      <c r="E47" s="8">
        <f>B47/D47</f>
        <v>1</v>
      </c>
      <c r="F47" s="8">
        <f>C47/D47</f>
        <v>0</v>
      </c>
    </row>
    <row r="49" spans="1:6" x14ac:dyDescent="0.25">
      <c r="A49" s="18" t="s">
        <v>0</v>
      </c>
      <c r="B49" s="1" t="s">
        <v>54</v>
      </c>
      <c r="C49" s="1" t="s">
        <v>54</v>
      </c>
      <c r="D49" s="1" t="s">
        <v>54</v>
      </c>
      <c r="E49" s="2" t="s">
        <v>2</v>
      </c>
      <c r="F49" s="2" t="s">
        <v>2</v>
      </c>
    </row>
    <row r="50" spans="1:6" x14ac:dyDescent="0.25">
      <c r="A50" s="19"/>
      <c r="B50" s="4" t="s">
        <v>18</v>
      </c>
      <c r="C50" s="3" t="s">
        <v>3</v>
      </c>
      <c r="D50" s="2" t="s">
        <v>4</v>
      </c>
      <c r="E50" s="2" t="s">
        <v>18</v>
      </c>
      <c r="F50" s="2" t="s">
        <v>3</v>
      </c>
    </row>
    <row r="51" spans="1:6" x14ac:dyDescent="0.25">
      <c r="A51" s="5" t="s">
        <v>5</v>
      </c>
      <c r="B51" s="6"/>
      <c r="C51" s="7"/>
      <c r="D51" s="2"/>
      <c r="E51" s="8"/>
      <c r="F51" s="8"/>
    </row>
    <row r="52" spans="1:6" x14ac:dyDescent="0.25">
      <c r="A52" s="5" t="s">
        <v>6</v>
      </c>
      <c r="B52" s="6"/>
      <c r="C52" s="7"/>
      <c r="D52" s="2"/>
      <c r="E52" s="8"/>
      <c r="F52" s="8"/>
    </row>
    <row r="53" spans="1:6" x14ac:dyDescent="0.25">
      <c r="A53" s="5" t="s">
        <v>7</v>
      </c>
      <c r="B53" s="6"/>
      <c r="C53" s="7"/>
      <c r="D53" s="2"/>
      <c r="E53" s="8"/>
      <c r="F53" s="8"/>
    </row>
    <row r="54" spans="1:6" x14ac:dyDescent="0.25">
      <c r="A54" s="5" t="s">
        <v>8</v>
      </c>
      <c r="B54" s="6"/>
      <c r="C54" s="7"/>
      <c r="D54" s="2"/>
      <c r="E54" s="8"/>
      <c r="F54" s="8"/>
    </row>
    <row r="55" spans="1:6" x14ac:dyDescent="0.25">
      <c r="A55" s="5" t="s">
        <v>9</v>
      </c>
      <c r="B55" s="6"/>
      <c r="C55" s="7"/>
      <c r="D55" s="2"/>
      <c r="E55" s="8"/>
      <c r="F55" s="8"/>
    </row>
    <row r="56" spans="1:6" x14ac:dyDescent="0.25">
      <c r="A56" s="5" t="s">
        <v>10</v>
      </c>
      <c r="B56" s="6"/>
      <c r="C56" s="7"/>
      <c r="D56" s="2"/>
      <c r="E56" s="8"/>
      <c r="F56" s="8"/>
    </row>
    <row r="57" spans="1:6" x14ac:dyDescent="0.25">
      <c r="A57" s="5" t="s">
        <v>11</v>
      </c>
      <c r="B57" s="6"/>
      <c r="C57" s="7"/>
      <c r="D57" s="2"/>
      <c r="E57" s="8"/>
      <c r="F57" s="8"/>
    </row>
    <row r="58" spans="1:6" x14ac:dyDescent="0.25">
      <c r="A58" s="5" t="s">
        <v>12</v>
      </c>
      <c r="B58" s="6"/>
      <c r="C58" s="7"/>
      <c r="D58" s="2"/>
      <c r="E58" s="8"/>
      <c r="F58" s="8"/>
    </row>
    <row r="59" spans="1:6" x14ac:dyDescent="0.25">
      <c r="A59" s="5" t="s">
        <v>13</v>
      </c>
      <c r="B59" s="6"/>
      <c r="C59" s="7"/>
      <c r="D59" s="2"/>
      <c r="E59" s="8"/>
      <c r="F59" s="8"/>
    </row>
    <row r="60" spans="1:6" x14ac:dyDescent="0.25">
      <c r="A60" s="5" t="s">
        <v>14</v>
      </c>
      <c r="B60" s="6"/>
      <c r="C60" s="7"/>
      <c r="D60" s="2"/>
      <c r="E60" s="8"/>
      <c r="F60" s="8"/>
    </row>
    <row r="61" spans="1:6" x14ac:dyDescent="0.25">
      <c r="A61" s="5" t="s">
        <v>15</v>
      </c>
      <c r="B61" s="6">
        <v>5</v>
      </c>
      <c r="C61" s="7"/>
      <c r="D61" s="2">
        <f>SUM(B61:C61)</f>
        <v>5</v>
      </c>
      <c r="E61" s="8">
        <f>B61/D61</f>
        <v>1</v>
      </c>
      <c r="F61" s="8">
        <f>C61/D61</f>
        <v>0</v>
      </c>
    </row>
    <row r="62" spans="1:6" x14ac:dyDescent="0.25">
      <c r="A62" s="5" t="s">
        <v>16</v>
      </c>
      <c r="B62" s="6"/>
      <c r="C62" s="7"/>
      <c r="D62" s="2"/>
      <c r="E62" s="8"/>
      <c r="F62" s="8"/>
    </row>
    <row r="63" spans="1:6" x14ac:dyDescent="0.25">
      <c r="A63" s="9" t="s">
        <v>17</v>
      </c>
      <c r="B63" s="6">
        <f>SUM(B51:B62)</f>
        <v>5</v>
      </c>
      <c r="C63" s="7">
        <f>SUM(C51:C62)</f>
        <v>0</v>
      </c>
      <c r="D63" s="2">
        <f>SUM(D51:D62)</f>
        <v>5</v>
      </c>
      <c r="E63" s="8">
        <f>B63/D63</f>
        <v>1</v>
      </c>
      <c r="F63" s="8">
        <f>C63/D63</f>
        <v>0</v>
      </c>
    </row>
    <row r="65" spans="1:6" x14ac:dyDescent="0.25">
      <c r="A65" s="18" t="s">
        <v>0</v>
      </c>
      <c r="B65" s="1" t="s">
        <v>52</v>
      </c>
      <c r="C65" s="1" t="s">
        <v>52</v>
      </c>
      <c r="D65" s="1" t="s">
        <v>52</v>
      </c>
      <c r="E65" s="2" t="s">
        <v>2</v>
      </c>
      <c r="F65" s="2" t="s">
        <v>2</v>
      </c>
    </row>
    <row r="66" spans="1:6" x14ac:dyDescent="0.25">
      <c r="A66" s="19"/>
      <c r="B66" s="4" t="s">
        <v>18</v>
      </c>
      <c r="C66" s="3" t="s">
        <v>3</v>
      </c>
      <c r="D66" s="2" t="s">
        <v>4</v>
      </c>
      <c r="E66" s="2" t="s">
        <v>18</v>
      </c>
      <c r="F66" s="2" t="s">
        <v>3</v>
      </c>
    </row>
    <row r="67" spans="1:6" x14ac:dyDescent="0.25">
      <c r="A67" s="5" t="s">
        <v>5</v>
      </c>
      <c r="B67" s="6"/>
      <c r="C67" s="7"/>
      <c r="D67" s="2"/>
      <c r="E67" s="8"/>
      <c r="F67" s="8"/>
    </row>
    <row r="68" spans="1:6" x14ac:dyDescent="0.25">
      <c r="A68" s="5" t="s">
        <v>6</v>
      </c>
      <c r="B68" s="6"/>
      <c r="C68" s="7"/>
      <c r="D68" s="2"/>
      <c r="E68" s="8"/>
      <c r="F68" s="8"/>
    </row>
    <row r="69" spans="1:6" x14ac:dyDescent="0.25">
      <c r="A69" s="5" t="s">
        <v>7</v>
      </c>
      <c r="B69" s="6"/>
      <c r="C69" s="7"/>
      <c r="D69" s="2"/>
      <c r="E69" s="8"/>
      <c r="F69" s="8"/>
    </row>
    <row r="70" spans="1:6" x14ac:dyDescent="0.25">
      <c r="A70" s="5" t="s">
        <v>8</v>
      </c>
      <c r="B70" s="6"/>
      <c r="C70" s="7"/>
      <c r="D70" s="2"/>
      <c r="E70" s="8"/>
      <c r="F70" s="8"/>
    </row>
    <row r="71" spans="1:6" x14ac:dyDescent="0.25">
      <c r="A71" s="5" t="s">
        <v>9</v>
      </c>
      <c r="B71" s="6"/>
      <c r="C71" s="7"/>
      <c r="D71" s="2"/>
      <c r="E71" s="8"/>
      <c r="F71" s="8"/>
    </row>
    <row r="72" spans="1:6" x14ac:dyDescent="0.25">
      <c r="A72" s="5" t="s">
        <v>10</v>
      </c>
      <c r="B72" s="6"/>
      <c r="C72" s="7"/>
      <c r="D72" s="2"/>
      <c r="E72" s="8"/>
      <c r="F72" s="8"/>
    </row>
    <row r="73" spans="1:6" x14ac:dyDescent="0.25">
      <c r="A73" s="5" t="s">
        <v>11</v>
      </c>
      <c r="B73" s="6"/>
      <c r="C73" s="7"/>
      <c r="D73" s="2"/>
      <c r="E73" s="8"/>
      <c r="F73" s="8"/>
    </row>
    <row r="74" spans="1:6" x14ac:dyDescent="0.25">
      <c r="A74" s="5" t="s">
        <v>12</v>
      </c>
      <c r="B74" s="6"/>
      <c r="C74" s="7"/>
      <c r="D74" s="2"/>
      <c r="E74" s="8"/>
      <c r="F74" s="8"/>
    </row>
    <row r="75" spans="1:6" x14ac:dyDescent="0.25">
      <c r="A75" s="5" t="s">
        <v>13</v>
      </c>
      <c r="B75" s="6"/>
      <c r="C75" s="7"/>
      <c r="D75" s="2"/>
      <c r="E75" s="8"/>
      <c r="F75" s="8"/>
    </row>
    <row r="76" spans="1:6" x14ac:dyDescent="0.25">
      <c r="A76" s="5" t="s">
        <v>14</v>
      </c>
      <c r="B76" s="6"/>
      <c r="C76" s="7"/>
      <c r="D76" s="2"/>
      <c r="E76" s="8"/>
      <c r="F76" s="8"/>
    </row>
    <row r="77" spans="1:6" x14ac:dyDescent="0.25">
      <c r="A77" s="5" t="s">
        <v>15</v>
      </c>
      <c r="B77" s="6">
        <v>17</v>
      </c>
      <c r="C77" s="7">
        <v>2</v>
      </c>
      <c r="D77" s="2">
        <f>SUM(B77:C77)</f>
        <v>19</v>
      </c>
      <c r="E77" s="8">
        <f>B77/D77</f>
        <v>0.89473684210526316</v>
      </c>
      <c r="F77" s="8">
        <f>C77/D77</f>
        <v>0.10526315789473684</v>
      </c>
    </row>
    <row r="78" spans="1:6" x14ac:dyDescent="0.25">
      <c r="A78" s="5" t="s">
        <v>16</v>
      </c>
      <c r="B78" s="6"/>
      <c r="C78" s="7"/>
      <c r="D78" s="2"/>
      <c r="E78" s="8"/>
      <c r="F78" s="8"/>
    </row>
    <row r="79" spans="1:6" x14ac:dyDescent="0.25">
      <c r="A79" s="9" t="s">
        <v>17</v>
      </c>
      <c r="B79" s="6">
        <f>SUM(B67:B78)</f>
        <v>17</v>
      </c>
      <c r="C79" s="7">
        <f>SUM(C67:C78)</f>
        <v>2</v>
      </c>
      <c r="D79" s="2">
        <f>SUM(D67:D78)</f>
        <v>19</v>
      </c>
      <c r="E79" s="8">
        <f>B79/D79</f>
        <v>0.89473684210526316</v>
      </c>
      <c r="F79" s="8">
        <f>C79/D79</f>
        <v>0.10526315789473684</v>
      </c>
    </row>
    <row r="81" spans="1:6" x14ac:dyDescent="0.25">
      <c r="A81" s="18" t="s">
        <v>0</v>
      </c>
      <c r="B81" s="1" t="s">
        <v>1</v>
      </c>
      <c r="C81" s="1" t="s">
        <v>1</v>
      </c>
      <c r="D81" s="1" t="s">
        <v>1</v>
      </c>
      <c r="E81" s="2" t="s">
        <v>2</v>
      </c>
      <c r="F81" s="2" t="s">
        <v>2</v>
      </c>
    </row>
    <row r="82" spans="1:6" x14ac:dyDescent="0.25">
      <c r="A82" s="19"/>
      <c r="B82" s="4" t="s">
        <v>18</v>
      </c>
      <c r="C82" s="3" t="s">
        <v>3</v>
      </c>
      <c r="D82" s="2" t="s">
        <v>4</v>
      </c>
      <c r="E82" s="2" t="s">
        <v>18</v>
      </c>
      <c r="F82" s="2" t="s">
        <v>3</v>
      </c>
    </row>
    <row r="83" spans="1:6" x14ac:dyDescent="0.25">
      <c r="A83" s="5" t="s">
        <v>5</v>
      </c>
      <c r="B83" s="6"/>
      <c r="C83" s="7"/>
      <c r="D83" s="2"/>
      <c r="E83" s="8"/>
      <c r="F83" s="8"/>
    </row>
    <row r="84" spans="1:6" x14ac:dyDescent="0.25">
      <c r="A84" s="5" t="s">
        <v>6</v>
      </c>
      <c r="B84" s="6"/>
      <c r="C84" s="7"/>
      <c r="D84" s="2"/>
      <c r="E84" s="8"/>
      <c r="F84" s="8"/>
    </row>
    <row r="85" spans="1:6" x14ac:dyDescent="0.25">
      <c r="A85" s="5" t="s">
        <v>7</v>
      </c>
      <c r="B85" s="6"/>
      <c r="C85" s="7"/>
      <c r="D85" s="2"/>
      <c r="E85" s="8"/>
      <c r="F85" s="8"/>
    </row>
    <row r="86" spans="1:6" x14ac:dyDescent="0.25">
      <c r="A86" s="5" t="s">
        <v>8</v>
      </c>
      <c r="B86" s="6"/>
      <c r="C86" s="7"/>
      <c r="D86" s="2"/>
      <c r="E86" s="8"/>
      <c r="F86" s="8"/>
    </row>
    <row r="87" spans="1:6" x14ac:dyDescent="0.25">
      <c r="A87" s="5" t="s">
        <v>9</v>
      </c>
      <c r="B87" s="6"/>
      <c r="C87" s="7"/>
      <c r="D87" s="2"/>
      <c r="E87" s="8"/>
      <c r="F87" s="8"/>
    </row>
    <row r="88" spans="1:6" x14ac:dyDescent="0.25">
      <c r="A88" s="5" t="s">
        <v>10</v>
      </c>
      <c r="B88" s="6"/>
      <c r="C88" s="7"/>
      <c r="D88" s="2"/>
      <c r="E88" s="8"/>
      <c r="F88" s="8"/>
    </row>
    <row r="89" spans="1:6" x14ac:dyDescent="0.25">
      <c r="A89" s="5" t="s">
        <v>11</v>
      </c>
      <c r="B89" s="6"/>
      <c r="C89" s="7"/>
      <c r="D89" s="2"/>
      <c r="E89" s="8"/>
      <c r="F89" s="8"/>
    </row>
    <row r="90" spans="1:6" x14ac:dyDescent="0.25">
      <c r="A90" s="5" t="s">
        <v>12</v>
      </c>
      <c r="B90" s="6"/>
      <c r="C90" s="7"/>
      <c r="D90" s="2"/>
      <c r="E90" s="8"/>
      <c r="F90" s="8"/>
    </row>
    <row r="91" spans="1:6" x14ac:dyDescent="0.25">
      <c r="A91" s="5" t="s">
        <v>13</v>
      </c>
      <c r="B91" s="6"/>
      <c r="C91" s="7"/>
      <c r="D91" s="2"/>
      <c r="E91" s="8"/>
      <c r="F91" s="8"/>
    </row>
    <row r="92" spans="1:6" x14ac:dyDescent="0.25">
      <c r="A92" s="5" t="s">
        <v>14</v>
      </c>
      <c r="B92" s="6"/>
      <c r="C92" s="7"/>
      <c r="D92" s="2"/>
      <c r="E92" s="8"/>
      <c r="F92" s="8"/>
    </row>
    <row r="93" spans="1:6" x14ac:dyDescent="0.25">
      <c r="A93" s="5" t="s">
        <v>15</v>
      </c>
      <c r="B93" s="6">
        <v>34</v>
      </c>
      <c r="C93" s="7">
        <v>1</v>
      </c>
      <c r="D93" s="2">
        <f>SUM(B93:C93)</f>
        <v>35</v>
      </c>
      <c r="E93" s="8">
        <f>B93/D93</f>
        <v>0.97142857142857142</v>
      </c>
      <c r="F93" s="8">
        <f>C93/D93</f>
        <v>2.8571428571428571E-2</v>
      </c>
    </row>
    <row r="94" spans="1:6" x14ac:dyDescent="0.25">
      <c r="A94" s="5" t="s">
        <v>16</v>
      </c>
      <c r="B94" s="6"/>
      <c r="C94" s="7"/>
      <c r="D94" s="2"/>
      <c r="E94" s="8"/>
      <c r="F94" s="8"/>
    </row>
    <row r="95" spans="1:6" x14ac:dyDescent="0.25">
      <c r="A95" s="9" t="s">
        <v>17</v>
      </c>
      <c r="B95" s="6">
        <f>SUM(B83:B94)</f>
        <v>34</v>
      </c>
      <c r="C95" s="7">
        <f>SUM(C83:C94)</f>
        <v>1</v>
      </c>
      <c r="D95" s="2">
        <f>SUM(D83:D94)</f>
        <v>35</v>
      </c>
      <c r="E95" s="8">
        <f>B95/D95</f>
        <v>0.97142857142857142</v>
      </c>
      <c r="F95" s="8">
        <f>C95/D95</f>
        <v>2.8571428571428571E-2</v>
      </c>
    </row>
    <row r="97" spans="1:6" x14ac:dyDescent="0.25">
      <c r="A97" s="18" t="s">
        <v>0</v>
      </c>
      <c r="B97" s="1" t="s">
        <v>55</v>
      </c>
      <c r="C97" s="1" t="s">
        <v>55</v>
      </c>
      <c r="D97" s="1" t="s">
        <v>55</v>
      </c>
      <c r="E97" s="2" t="s">
        <v>2</v>
      </c>
      <c r="F97" s="2" t="s">
        <v>2</v>
      </c>
    </row>
    <row r="98" spans="1:6" x14ac:dyDescent="0.25">
      <c r="A98" s="19"/>
      <c r="B98" s="4" t="s">
        <v>18</v>
      </c>
      <c r="C98" s="3" t="s">
        <v>3</v>
      </c>
      <c r="D98" s="2" t="s">
        <v>4</v>
      </c>
      <c r="E98" s="2" t="s">
        <v>18</v>
      </c>
      <c r="F98" s="2" t="s">
        <v>3</v>
      </c>
    </row>
    <row r="99" spans="1:6" x14ac:dyDescent="0.25">
      <c r="A99" s="5" t="s">
        <v>5</v>
      </c>
      <c r="B99" s="6"/>
      <c r="C99" s="7"/>
      <c r="D99" s="2"/>
      <c r="E99" s="8"/>
      <c r="F99" s="8"/>
    </row>
    <row r="100" spans="1:6" x14ac:dyDescent="0.25">
      <c r="A100" s="5" t="s">
        <v>6</v>
      </c>
      <c r="B100" s="6"/>
      <c r="C100" s="7"/>
      <c r="D100" s="2"/>
      <c r="E100" s="8"/>
      <c r="F100" s="8"/>
    </row>
    <row r="101" spans="1:6" x14ac:dyDescent="0.25">
      <c r="A101" s="5" t="s">
        <v>7</v>
      </c>
      <c r="B101" s="6"/>
      <c r="C101" s="7"/>
      <c r="D101" s="2"/>
      <c r="E101" s="8"/>
      <c r="F101" s="8"/>
    </row>
    <row r="102" spans="1:6" x14ac:dyDescent="0.25">
      <c r="A102" s="5" t="s">
        <v>8</v>
      </c>
      <c r="B102" s="6"/>
      <c r="C102" s="7"/>
      <c r="D102" s="2"/>
      <c r="E102" s="8"/>
      <c r="F102" s="8"/>
    </row>
    <row r="103" spans="1:6" x14ac:dyDescent="0.25">
      <c r="A103" s="5" t="s">
        <v>9</v>
      </c>
      <c r="B103" s="6"/>
      <c r="C103" s="7"/>
      <c r="D103" s="2"/>
      <c r="E103" s="8"/>
      <c r="F103" s="8"/>
    </row>
    <row r="104" spans="1:6" x14ac:dyDescent="0.25">
      <c r="A104" s="5" t="s">
        <v>10</v>
      </c>
      <c r="B104" s="6"/>
      <c r="C104" s="7"/>
      <c r="D104" s="2"/>
      <c r="E104" s="8"/>
      <c r="F104" s="8"/>
    </row>
    <row r="105" spans="1:6" x14ac:dyDescent="0.25">
      <c r="A105" s="5" t="s">
        <v>11</v>
      </c>
      <c r="B105" s="6"/>
      <c r="C105" s="7"/>
      <c r="D105" s="2"/>
      <c r="E105" s="8"/>
      <c r="F105" s="8"/>
    </row>
    <row r="106" spans="1:6" x14ac:dyDescent="0.25">
      <c r="A106" s="5" t="s">
        <v>12</v>
      </c>
      <c r="B106" s="6"/>
      <c r="C106" s="7"/>
      <c r="D106" s="2"/>
      <c r="E106" s="8"/>
      <c r="F106" s="8"/>
    </row>
    <row r="107" spans="1:6" x14ac:dyDescent="0.25">
      <c r="A107" s="5" t="s">
        <v>13</v>
      </c>
      <c r="B107" s="6"/>
      <c r="C107" s="7"/>
      <c r="D107" s="2"/>
      <c r="E107" s="8"/>
      <c r="F107" s="8"/>
    </row>
    <row r="108" spans="1:6" x14ac:dyDescent="0.25">
      <c r="A108" s="5" t="s">
        <v>14</v>
      </c>
      <c r="B108" s="6"/>
      <c r="C108" s="7"/>
      <c r="D108" s="2"/>
      <c r="E108" s="8"/>
      <c r="F108" s="8"/>
    </row>
    <row r="109" spans="1:6" x14ac:dyDescent="0.25">
      <c r="A109" s="5" t="s">
        <v>15</v>
      </c>
      <c r="B109" s="6">
        <v>7</v>
      </c>
      <c r="C109" s="7"/>
      <c r="D109" s="2">
        <f>SUM(B109:C109)</f>
        <v>7</v>
      </c>
      <c r="E109" s="8">
        <f>B109/D109</f>
        <v>1</v>
      </c>
      <c r="F109" s="8">
        <f>C109/D109</f>
        <v>0</v>
      </c>
    </row>
    <row r="110" spans="1:6" x14ac:dyDescent="0.25">
      <c r="A110" s="5" t="s">
        <v>16</v>
      </c>
      <c r="B110" s="6"/>
      <c r="C110" s="7"/>
      <c r="D110" s="2"/>
      <c r="E110" s="8"/>
      <c r="F110" s="8"/>
    </row>
    <row r="111" spans="1:6" x14ac:dyDescent="0.25">
      <c r="A111" s="9" t="s">
        <v>17</v>
      </c>
      <c r="B111" s="6">
        <f>SUM(B99:B110)</f>
        <v>7</v>
      </c>
      <c r="C111" s="7">
        <f>SUM(C99:C110)</f>
        <v>0</v>
      </c>
      <c r="D111" s="2">
        <f>SUM(D99:D110)</f>
        <v>7</v>
      </c>
      <c r="E111" s="8">
        <f>B111/D111</f>
        <v>1</v>
      </c>
      <c r="F111" s="8">
        <f>C111/D111</f>
        <v>0</v>
      </c>
    </row>
    <row r="113" spans="1:6" x14ac:dyDescent="0.25">
      <c r="A113" s="18" t="s">
        <v>0</v>
      </c>
      <c r="B113" s="1" t="s">
        <v>48</v>
      </c>
      <c r="C113" s="1" t="s">
        <v>48</v>
      </c>
      <c r="D113" s="1" t="s">
        <v>48</v>
      </c>
      <c r="E113" s="2" t="s">
        <v>2</v>
      </c>
      <c r="F113" s="2" t="s">
        <v>2</v>
      </c>
    </row>
    <row r="114" spans="1:6" x14ac:dyDescent="0.25">
      <c r="A114" s="19"/>
      <c r="B114" s="4" t="s">
        <v>18</v>
      </c>
      <c r="C114" s="3" t="s">
        <v>3</v>
      </c>
      <c r="D114" s="2" t="s">
        <v>4</v>
      </c>
      <c r="E114" s="2" t="s">
        <v>18</v>
      </c>
      <c r="F114" s="2" t="s">
        <v>3</v>
      </c>
    </row>
    <row r="115" spans="1:6" x14ac:dyDescent="0.25">
      <c r="A115" s="5" t="s">
        <v>5</v>
      </c>
      <c r="B115" s="6"/>
      <c r="C115" s="7"/>
      <c r="D115" s="2"/>
      <c r="E115" s="8"/>
      <c r="F115" s="8"/>
    </row>
    <row r="116" spans="1:6" x14ac:dyDescent="0.25">
      <c r="A116" s="5" t="s">
        <v>6</v>
      </c>
      <c r="B116" s="6"/>
      <c r="C116" s="7"/>
      <c r="D116" s="2"/>
      <c r="E116" s="8"/>
      <c r="F116" s="8"/>
    </row>
    <row r="117" spans="1:6" x14ac:dyDescent="0.25">
      <c r="A117" s="5" t="s">
        <v>7</v>
      </c>
      <c r="B117" s="6"/>
      <c r="C117" s="7"/>
      <c r="D117" s="2"/>
      <c r="E117" s="8"/>
      <c r="F117" s="8"/>
    </row>
    <row r="118" spans="1:6" x14ac:dyDescent="0.25">
      <c r="A118" s="5" t="s">
        <v>8</v>
      </c>
      <c r="B118" s="6"/>
      <c r="C118" s="7"/>
      <c r="D118" s="2"/>
      <c r="E118" s="8"/>
      <c r="F118" s="8"/>
    </row>
    <row r="119" spans="1:6" x14ac:dyDescent="0.25">
      <c r="A119" s="5" t="s">
        <v>9</v>
      </c>
      <c r="B119" s="6"/>
      <c r="C119" s="7"/>
      <c r="D119" s="2"/>
      <c r="E119" s="8"/>
      <c r="F119" s="8"/>
    </row>
    <row r="120" spans="1:6" x14ac:dyDescent="0.25">
      <c r="A120" s="5" t="s">
        <v>10</v>
      </c>
      <c r="B120" s="6"/>
      <c r="C120" s="7"/>
      <c r="D120" s="2"/>
      <c r="E120" s="8"/>
      <c r="F120" s="8"/>
    </row>
    <row r="121" spans="1:6" x14ac:dyDescent="0.25">
      <c r="A121" s="5" t="s">
        <v>11</v>
      </c>
      <c r="B121" s="6"/>
      <c r="C121" s="7"/>
      <c r="D121" s="2"/>
      <c r="E121" s="8"/>
      <c r="F121" s="8"/>
    </row>
    <row r="122" spans="1:6" x14ac:dyDescent="0.25">
      <c r="A122" s="5" t="s">
        <v>12</v>
      </c>
      <c r="B122" s="6"/>
      <c r="C122" s="7"/>
      <c r="D122" s="2"/>
      <c r="E122" s="8"/>
      <c r="F122" s="8"/>
    </row>
    <row r="123" spans="1:6" x14ac:dyDescent="0.25">
      <c r="A123" s="5" t="s">
        <v>13</v>
      </c>
      <c r="B123" s="6"/>
      <c r="C123" s="7"/>
      <c r="D123" s="2"/>
      <c r="E123" s="8"/>
      <c r="F123" s="8"/>
    </row>
    <row r="124" spans="1:6" x14ac:dyDescent="0.25">
      <c r="A124" s="5" t="s">
        <v>14</v>
      </c>
      <c r="B124" s="6"/>
      <c r="C124" s="7"/>
      <c r="D124" s="2"/>
      <c r="E124" s="8"/>
      <c r="F124" s="8"/>
    </row>
    <row r="125" spans="1:6" x14ac:dyDescent="0.25">
      <c r="A125" s="5" t="s">
        <v>15</v>
      </c>
      <c r="B125" s="6">
        <v>28</v>
      </c>
      <c r="C125" s="7">
        <v>3</v>
      </c>
      <c r="D125" s="2">
        <f>SUM(B125:C125)</f>
        <v>31</v>
      </c>
      <c r="E125" s="8">
        <f>B125/D125</f>
        <v>0.90322580645161288</v>
      </c>
      <c r="F125" s="8">
        <f>C125/D125</f>
        <v>9.6774193548387094E-2</v>
      </c>
    </row>
    <row r="126" spans="1:6" x14ac:dyDescent="0.25">
      <c r="A126" s="5" t="s">
        <v>16</v>
      </c>
      <c r="B126" s="6"/>
      <c r="C126" s="7"/>
      <c r="D126" s="2"/>
      <c r="E126" s="8"/>
      <c r="F126" s="8"/>
    </row>
    <row r="127" spans="1:6" x14ac:dyDescent="0.25">
      <c r="A127" s="9" t="s">
        <v>17</v>
      </c>
      <c r="B127" s="6">
        <f>SUM(B115:B126)</f>
        <v>28</v>
      </c>
      <c r="C127" s="7">
        <f>SUM(C115:C126)</f>
        <v>3</v>
      </c>
      <c r="D127" s="2">
        <f>SUM(D115:D126)</f>
        <v>31</v>
      </c>
      <c r="E127" s="8">
        <f>B127/D127</f>
        <v>0.90322580645161288</v>
      </c>
      <c r="F127" s="8">
        <f>C127/D127</f>
        <v>9.6774193548387094E-2</v>
      </c>
    </row>
    <row r="129" spans="1:6" x14ac:dyDescent="0.25">
      <c r="A129" s="18" t="s">
        <v>0</v>
      </c>
      <c r="B129" s="1" t="s">
        <v>56</v>
      </c>
      <c r="C129" s="1" t="s">
        <v>56</v>
      </c>
      <c r="D129" s="1" t="s">
        <v>56</v>
      </c>
      <c r="E129" s="2" t="s">
        <v>2</v>
      </c>
      <c r="F129" s="2" t="s">
        <v>2</v>
      </c>
    </row>
    <row r="130" spans="1:6" x14ac:dyDescent="0.25">
      <c r="A130" s="19"/>
      <c r="B130" s="4" t="s">
        <v>18</v>
      </c>
      <c r="C130" s="3" t="s">
        <v>3</v>
      </c>
      <c r="D130" s="2" t="s">
        <v>4</v>
      </c>
      <c r="E130" s="2" t="s">
        <v>18</v>
      </c>
      <c r="F130" s="2" t="s">
        <v>3</v>
      </c>
    </row>
    <row r="131" spans="1:6" x14ac:dyDescent="0.25">
      <c r="A131" s="5" t="s">
        <v>5</v>
      </c>
      <c r="B131" s="6"/>
      <c r="C131" s="7"/>
      <c r="D131" s="2"/>
      <c r="E131" s="8"/>
      <c r="F131" s="8"/>
    </row>
    <row r="132" spans="1:6" x14ac:dyDescent="0.25">
      <c r="A132" s="5" t="s">
        <v>6</v>
      </c>
      <c r="B132" s="6"/>
      <c r="C132" s="7"/>
      <c r="D132" s="2"/>
      <c r="E132" s="8"/>
      <c r="F132" s="8"/>
    </row>
    <row r="133" spans="1:6" x14ac:dyDescent="0.25">
      <c r="A133" s="5" t="s">
        <v>7</v>
      </c>
      <c r="B133" s="6"/>
      <c r="C133" s="7"/>
      <c r="D133" s="2"/>
      <c r="E133" s="8"/>
      <c r="F133" s="8"/>
    </row>
    <row r="134" spans="1:6" x14ac:dyDescent="0.25">
      <c r="A134" s="5" t="s">
        <v>8</v>
      </c>
      <c r="B134" s="6"/>
      <c r="C134" s="7"/>
      <c r="D134" s="2"/>
      <c r="E134" s="8"/>
      <c r="F134" s="8"/>
    </row>
    <row r="135" spans="1:6" x14ac:dyDescent="0.25">
      <c r="A135" s="5" t="s">
        <v>9</v>
      </c>
      <c r="B135" s="6"/>
      <c r="C135" s="7"/>
      <c r="D135" s="2"/>
      <c r="E135" s="8"/>
      <c r="F135" s="8"/>
    </row>
    <row r="136" spans="1:6" x14ac:dyDescent="0.25">
      <c r="A136" s="5" t="s">
        <v>10</v>
      </c>
      <c r="B136" s="6"/>
      <c r="C136" s="7"/>
      <c r="D136" s="2"/>
      <c r="E136" s="8"/>
      <c r="F136" s="8"/>
    </row>
    <row r="137" spans="1:6" x14ac:dyDescent="0.25">
      <c r="A137" s="5" t="s">
        <v>11</v>
      </c>
      <c r="B137" s="6"/>
      <c r="C137" s="7"/>
      <c r="D137" s="2"/>
      <c r="E137" s="8"/>
      <c r="F137" s="8"/>
    </row>
    <row r="138" spans="1:6" x14ac:dyDescent="0.25">
      <c r="A138" s="5" t="s">
        <v>12</v>
      </c>
      <c r="B138" s="6"/>
      <c r="C138" s="7"/>
      <c r="D138" s="2"/>
      <c r="E138" s="8"/>
      <c r="F138" s="8"/>
    </row>
    <row r="139" spans="1:6" x14ac:dyDescent="0.25">
      <c r="A139" s="5" t="s">
        <v>13</v>
      </c>
      <c r="B139" s="6"/>
      <c r="C139" s="7"/>
      <c r="D139" s="2"/>
      <c r="E139" s="8"/>
      <c r="F139" s="8"/>
    </row>
    <row r="140" spans="1:6" x14ac:dyDescent="0.25">
      <c r="A140" s="5" t="s">
        <v>14</v>
      </c>
      <c r="B140" s="6"/>
      <c r="C140" s="7"/>
      <c r="D140" s="2"/>
      <c r="E140" s="8"/>
      <c r="F140" s="8"/>
    </row>
    <row r="141" spans="1:6" x14ac:dyDescent="0.25">
      <c r="A141" s="5" t="s">
        <v>15</v>
      </c>
      <c r="B141" s="6">
        <v>7</v>
      </c>
      <c r="C141" s="7"/>
      <c r="D141" s="2">
        <f>SUM(B141:C141)</f>
        <v>7</v>
      </c>
      <c r="E141" s="8">
        <f>B141/D141</f>
        <v>1</v>
      </c>
      <c r="F141" s="8">
        <f>C141/D141</f>
        <v>0</v>
      </c>
    </row>
    <row r="142" spans="1:6" x14ac:dyDescent="0.25">
      <c r="A142" s="5" t="s">
        <v>16</v>
      </c>
      <c r="B142" s="6"/>
      <c r="C142" s="7"/>
      <c r="D142" s="2"/>
      <c r="E142" s="8"/>
      <c r="F142" s="8"/>
    </row>
    <row r="143" spans="1:6" x14ac:dyDescent="0.25">
      <c r="A143" s="9" t="s">
        <v>17</v>
      </c>
      <c r="B143" s="6">
        <f>SUM(B131:B142)</f>
        <v>7</v>
      </c>
      <c r="C143" s="7">
        <f>SUM(C131:C142)</f>
        <v>0</v>
      </c>
      <c r="D143" s="2">
        <f>SUM(D131:D142)</f>
        <v>7</v>
      </c>
      <c r="E143" s="8">
        <f>B143/D143</f>
        <v>1</v>
      </c>
      <c r="F143" s="8">
        <f>C143/D143</f>
        <v>0</v>
      </c>
    </row>
    <row r="145" spans="1:6" x14ac:dyDescent="0.25">
      <c r="A145" s="18" t="s">
        <v>0</v>
      </c>
      <c r="B145" s="1" t="s">
        <v>51</v>
      </c>
      <c r="C145" s="1" t="s">
        <v>51</v>
      </c>
      <c r="D145" s="1" t="s">
        <v>51</v>
      </c>
      <c r="E145" s="2" t="s">
        <v>2</v>
      </c>
      <c r="F145" s="2" t="s">
        <v>2</v>
      </c>
    </row>
    <row r="146" spans="1:6" x14ac:dyDescent="0.25">
      <c r="A146" s="19"/>
      <c r="B146" s="4" t="s">
        <v>18</v>
      </c>
      <c r="C146" s="3" t="s">
        <v>3</v>
      </c>
      <c r="D146" s="2" t="s">
        <v>4</v>
      </c>
      <c r="E146" s="2" t="s">
        <v>18</v>
      </c>
      <c r="F146" s="2" t="s">
        <v>3</v>
      </c>
    </row>
    <row r="147" spans="1:6" x14ac:dyDescent="0.25">
      <c r="A147" s="5" t="s">
        <v>5</v>
      </c>
      <c r="B147" s="6"/>
      <c r="C147" s="7"/>
      <c r="D147" s="2"/>
      <c r="E147" s="8"/>
      <c r="F147" s="8"/>
    </row>
    <row r="148" spans="1:6" x14ac:dyDescent="0.25">
      <c r="A148" s="5" t="s">
        <v>6</v>
      </c>
      <c r="B148" s="6"/>
      <c r="C148" s="7"/>
      <c r="D148" s="2"/>
      <c r="E148" s="8"/>
      <c r="F148" s="8"/>
    </row>
    <row r="149" spans="1:6" x14ac:dyDescent="0.25">
      <c r="A149" s="5" t="s">
        <v>7</v>
      </c>
      <c r="B149" s="6"/>
      <c r="C149" s="7"/>
      <c r="D149" s="2"/>
      <c r="E149" s="8"/>
      <c r="F149" s="8"/>
    </row>
    <row r="150" spans="1:6" x14ac:dyDescent="0.25">
      <c r="A150" s="5" t="s">
        <v>8</v>
      </c>
      <c r="B150" s="6"/>
      <c r="C150" s="7"/>
      <c r="D150" s="2"/>
      <c r="E150" s="8"/>
      <c r="F150" s="8"/>
    </row>
    <row r="151" spans="1:6" x14ac:dyDescent="0.25">
      <c r="A151" s="5" t="s">
        <v>9</v>
      </c>
      <c r="B151" s="6"/>
      <c r="C151" s="7"/>
      <c r="D151" s="2"/>
      <c r="E151" s="8"/>
      <c r="F151" s="8"/>
    </row>
    <row r="152" spans="1:6" x14ac:dyDescent="0.25">
      <c r="A152" s="5" t="s">
        <v>10</v>
      </c>
      <c r="B152" s="6"/>
      <c r="C152" s="7"/>
      <c r="D152" s="2"/>
      <c r="E152" s="8"/>
      <c r="F152" s="8"/>
    </row>
    <row r="153" spans="1:6" x14ac:dyDescent="0.25">
      <c r="A153" s="5" t="s">
        <v>11</v>
      </c>
      <c r="B153" s="6"/>
      <c r="C153" s="7"/>
      <c r="D153" s="2"/>
      <c r="E153" s="8"/>
      <c r="F153" s="8"/>
    </row>
    <row r="154" spans="1:6" x14ac:dyDescent="0.25">
      <c r="A154" s="5" t="s">
        <v>12</v>
      </c>
      <c r="B154" s="6"/>
      <c r="C154" s="7"/>
      <c r="D154" s="2"/>
      <c r="E154" s="8"/>
      <c r="F154" s="8"/>
    </row>
    <row r="155" spans="1:6" x14ac:dyDescent="0.25">
      <c r="A155" s="5" t="s">
        <v>13</v>
      </c>
      <c r="B155" s="6"/>
      <c r="C155" s="7"/>
      <c r="D155" s="2"/>
      <c r="E155" s="8"/>
      <c r="F155" s="8"/>
    </row>
    <row r="156" spans="1:6" x14ac:dyDescent="0.25">
      <c r="A156" s="5" t="s">
        <v>14</v>
      </c>
      <c r="B156" s="6"/>
      <c r="C156" s="7"/>
      <c r="D156" s="2"/>
      <c r="E156" s="8"/>
      <c r="F156" s="8"/>
    </row>
    <row r="157" spans="1:6" x14ac:dyDescent="0.25">
      <c r="A157" s="5" t="s">
        <v>15</v>
      </c>
      <c r="B157" s="6">
        <v>16</v>
      </c>
      <c r="C157" s="7">
        <v>7</v>
      </c>
      <c r="D157" s="2">
        <f>SUM(B157:C157)</f>
        <v>23</v>
      </c>
      <c r="E157" s="8">
        <f>B157/D157</f>
        <v>0.69565217391304346</v>
      </c>
      <c r="F157" s="8">
        <f>C157/D157</f>
        <v>0.30434782608695654</v>
      </c>
    </row>
    <row r="158" spans="1:6" x14ac:dyDescent="0.25">
      <c r="A158" s="5" t="s">
        <v>16</v>
      </c>
      <c r="B158" s="6"/>
      <c r="C158" s="7"/>
      <c r="D158" s="2"/>
      <c r="E158" s="8"/>
      <c r="F158" s="8"/>
    </row>
    <row r="159" spans="1:6" x14ac:dyDescent="0.25">
      <c r="A159" s="9" t="s">
        <v>17</v>
      </c>
      <c r="B159" s="6">
        <f>SUM(B147:B158)</f>
        <v>16</v>
      </c>
      <c r="C159" s="7">
        <f>SUM(C147:C158)</f>
        <v>7</v>
      </c>
      <c r="D159" s="2">
        <f>SUM(D147:D158)</f>
        <v>23</v>
      </c>
      <c r="E159" s="8">
        <f>B159/D159</f>
        <v>0.69565217391304346</v>
      </c>
      <c r="F159" s="8">
        <f>C159/D159</f>
        <v>0.30434782608695654</v>
      </c>
    </row>
    <row r="161" spans="1:6" x14ac:dyDescent="0.25">
      <c r="A161" s="18" t="s">
        <v>0</v>
      </c>
      <c r="B161" s="1" t="s">
        <v>41</v>
      </c>
      <c r="C161" s="1" t="s">
        <v>41</v>
      </c>
      <c r="D161" s="1" t="s">
        <v>41</v>
      </c>
      <c r="E161" s="2" t="s">
        <v>2</v>
      </c>
      <c r="F161" s="2" t="s">
        <v>2</v>
      </c>
    </row>
    <row r="162" spans="1:6" x14ac:dyDescent="0.25">
      <c r="A162" s="19"/>
      <c r="B162" s="4" t="s">
        <v>18</v>
      </c>
      <c r="C162" s="3" t="s">
        <v>3</v>
      </c>
      <c r="D162" s="2" t="s">
        <v>4</v>
      </c>
      <c r="E162" s="2" t="s">
        <v>18</v>
      </c>
      <c r="F162" s="2" t="s">
        <v>3</v>
      </c>
    </row>
    <row r="163" spans="1:6" x14ac:dyDescent="0.25">
      <c r="A163" s="5" t="s">
        <v>5</v>
      </c>
      <c r="B163" s="6"/>
      <c r="C163" s="7"/>
      <c r="D163" s="2"/>
      <c r="E163" s="8"/>
      <c r="F163" s="8"/>
    </row>
    <row r="164" spans="1:6" x14ac:dyDescent="0.25">
      <c r="A164" s="5" t="s">
        <v>6</v>
      </c>
      <c r="B164" s="6"/>
      <c r="C164" s="7"/>
      <c r="D164" s="2"/>
      <c r="E164" s="8"/>
      <c r="F164" s="8"/>
    </row>
    <row r="165" spans="1:6" x14ac:dyDescent="0.25">
      <c r="A165" s="5" t="s">
        <v>7</v>
      </c>
      <c r="B165" s="6"/>
      <c r="C165" s="7"/>
      <c r="D165" s="2"/>
      <c r="E165" s="8"/>
      <c r="F165" s="8"/>
    </row>
    <row r="166" spans="1:6" x14ac:dyDescent="0.25">
      <c r="A166" s="5" t="s">
        <v>8</v>
      </c>
      <c r="B166" s="6"/>
      <c r="C166" s="7"/>
      <c r="D166" s="2"/>
      <c r="E166" s="8"/>
      <c r="F166" s="8"/>
    </row>
    <row r="167" spans="1:6" x14ac:dyDescent="0.25">
      <c r="A167" s="5" t="s">
        <v>9</v>
      </c>
      <c r="B167" s="6"/>
      <c r="C167" s="7"/>
      <c r="D167" s="2"/>
      <c r="E167" s="8"/>
      <c r="F167" s="8"/>
    </row>
    <row r="168" spans="1:6" x14ac:dyDescent="0.25">
      <c r="A168" s="5" t="s">
        <v>10</v>
      </c>
      <c r="B168" s="6"/>
      <c r="C168" s="7"/>
      <c r="D168" s="2"/>
      <c r="E168" s="8"/>
      <c r="F168" s="8"/>
    </row>
    <row r="169" spans="1:6" x14ac:dyDescent="0.25">
      <c r="A169" s="5" t="s">
        <v>11</v>
      </c>
      <c r="B169" s="6"/>
      <c r="C169" s="7"/>
      <c r="D169" s="2"/>
      <c r="E169" s="8"/>
      <c r="F169" s="8"/>
    </row>
    <row r="170" spans="1:6" x14ac:dyDescent="0.25">
      <c r="A170" s="5" t="s">
        <v>12</v>
      </c>
      <c r="B170" s="6"/>
      <c r="C170" s="7"/>
      <c r="D170" s="2"/>
      <c r="E170" s="8"/>
      <c r="F170" s="8"/>
    </row>
    <row r="171" spans="1:6" x14ac:dyDescent="0.25">
      <c r="A171" s="5" t="s">
        <v>13</v>
      </c>
      <c r="B171" s="6"/>
      <c r="C171" s="7"/>
      <c r="D171" s="2"/>
      <c r="E171" s="8"/>
      <c r="F171" s="8"/>
    </row>
    <row r="172" spans="1:6" x14ac:dyDescent="0.25">
      <c r="A172" s="5" t="s">
        <v>14</v>
      </c>
      <c r="B172" s="6"/>
      <c r="C172" s="7"/>
      <c r="D172" s="2"/>
      <c r="E172" s="8"/>
      <c r="F172" s="8"/>
    </row>
    <row r="173" spans="1:6" x14ac:dyDescent="0.25">
      <c r="A173" s="5" t="s">
        <v>15</v>
      </c>
      <c r="B173" s="6">
        <v>18</v>
      </c>
      <c r="C173" s="7">
        <v>4</v>
      </c>
      <c r="D173" s="2">
        <f>SUM(B173:C173)</f>
        <v>22</v>
      </c>
      <c r="E173" s="8">
        <f>B173/D173</f>
        <v>0.81818181818181823</v>
      </c>
      <c r="F173" s="8">
        <f>C173/D173</f>
        <v>0.18181818181818182</v>
      </c>
    </row>
    <row r="174" spans="1:6" x14ac:dyDescent="0.25">
      <c r="A174" s="5" t="s">
        <v>16</v>
      </c>
      <c r="B174" s="6"/>
      <c r="C174" s="7"/>
      <c r="D174" s="2"/>
      <c r="E174" s="8"/>
      <c r="F174" s="8"/>
    </row>
    <row r="175" spans="1:6" x14ac:dyDescent="0.25">
      <c r="A175" s="9" t="s">
        <v>17</v>
      </c>
      <c r="B175" s="6">
        <f>SUM(B163:B174)</f>
        <v>18</v>
      </c>
      <c r="C175" s="7">
        <f>SUM(C163:C174)</f>
        <v>4</v>
      </c>
      <c r="D175" s="2">
        <f>SUM(D163:D174)</f>
        <v>22</v>
      </c>
      <c r="E175" s="8">
        <f>B175/D175</f>
        <v>0.81818181818181823</v>
      </c>
      <c r="F175" s="8">
        <f>C175/D175</f>
        <v>0.18181818181818182</v>
      </c>
    </row>
    <row r="177" spans="1:6" x14ac:dyDescent="0.25">
      <c r="A177" s="18" t="s">
        <v>0</v>
      </c>
      <c r="B177" s="1" t="s">
        <v>50</v>
      </c>
      <c r="C177" s="1" t="s">
        <v>50</v>
      </c>
      <c r="D177" s="1" t="s">
        <v>50</v>
      </c>
      <c r="E177" s="2" t="s">
        <v>2</v>
      </c>
      <c r="F177" s="2" t="s">
        <v>2</v>
      </c>
    </row>
    <row r="178" spans="1:6" x14ac:dyDescent="0.25">
      <c r="A178" s="19"/>
      <c r="B178" s="4" t="s">
        <v>18</v>
      </c>
      <c r="C178" s="3" t="s">
        <v>3</v>
      </c>
      <c r="D178" s="2" t="s">
        <v>4</v>
      </c>
      <c r="E178" s="2" t="s">
        <v>18</v>
      </c>
      <c r="F178" s="2" t="s">
        <v>3</v>
      </c>
    </row>
    <row r="179" spans="1:6" x14ac:dyDescent="0.25">
      <c r="A179" s="5" t="s">
        <v>5</v>
      </c>
      <c r="B179" s="6"/>
      <c r="C179" s="7"/>
      <c r="D179" s="2"/>
      <c r="E179" s="8"/>
      <c r="F179" s="8"/>
    </row>
    <row r="180" spans="1:6" x14ac:dyDescent="0.25">
      <c r="A180" s="5" t="s">
        <v>6</v>
      </c>
      <c r="B180" s="6"/>
      <c r="C180" s="7"/>
      <c r="D180" s="2"/>
      <c r="E180" s="8"/>
      <c r="F180" s="8"/>
    </row>
    <row r="181" spans="1:6" x14ac:dyDescent="0.25">
      <c r="A181" s="5" t="s">
        <v>7</v>
      </c>
      <c r="B181" s="6"/>
      <c r="C181" s="7"/>
      <c r="D181" s="2"/>
      <c r="E181" s="8"/>
      <c r="F181" s="8"/>
    </row>
    <row r="182" spans="1:6" x14ac:dyDescent="0.25">
      <c r="A182" s="5" t="s">
        <v>8</v>
      </c>
      <c r="B182" s="6"/>
      <c r="C182" s="7"/>
      <c r="D182" s="2"/>
      <c r="E182" s="8"/>
      <c r="F182" s="8"/>
    </row>
    <row r="183" spans="1:6" x14ac:dyDescent="0.25">
      <c r="A183" s="5" t="s">
        <v>9</v>
      </c>
      <c r="B183" s="6"/>
      <c r="C183" s="7"/>
      <c r="D183" s="2"/>
      <c r="E183" s="8"/>
      <c r="F183" s="8"/>
    </row>
    <row r="184" spans="1:6" x14ac:dyDescent="0.25">
      <c r="A184" s="5" t="s">
        <v>10</v>
      </c>
      <c r="B184" s="6"/>
      <c r="C184" s="7"/>
      <c r="D184" s="2"/>
      <c r="E184" s="8"/>
      <c r="F184" s="8"/>
    </row>
    <row r="185" spans="1:6" x14ac:dyDescent="0.25">
      <c r="A185" s="5" t="s">
        <v>11</v>
      </c>
      <c r="B185" s="6"/>
      <c r="C185" s="7"/>
      <c r="D185" s="2"/>
      <c r="E185" s="8"/>
      <c r="F185" s="8"/>
    </row>
    <row r="186" spans="1:6" x14ac:dyDescent="0.25">
      <c r="A186" s="5" t="s">
        <v>12</v>
      </c>
      <c r="B186" s="6"/>
      <c r="C186" s="7"/>
      <c r="D186" s="2"/>
      <c r="E186" s="8"/>
      <c r="F186" s="8"/>
    </row>
    <row r="187" spans="1:6" x14ac:dyDescent="0.25">
      <c r="A187" s="5" t="s">
        <v>13</v>
      </c>
      <c r="B187" s="6"/>
      <c r="C187" s="7"/>
      <c r="D187" s="2"/>
      <c r="E187" s="8"/>
      <c r="F187" s="8"/>
    </row>
    <row r="188" spans="1:6" x14ac:dyDescent="0.25">
      <c r="A188" s="5" t="s">
        <v>14</v>
      </c>
      <c r="B188" s="6"/>
      <c r="C188" s="7"/>
      <c r="D188" s="2"/>
      <c r="E188" s="8"/>
      <c r="F188" s="8"/>
    </row>
    <row r="189" spans="1:6" x14ac:dyDescent="0.25">
      <c r="A189" s="5" t="s">
        <v>15</v>
      </c>
      <c r="B189" s="6">
        <v>2</v>
      </c>
      <c r="C189" s="7">
        <v>1</v>
      </c>
      <c r="D189" s="2">
        <f>SUM(B189:C189)</f>
        <v>3</v>
      </c>
      <c r="E189" s="8">
        <f>B189/D189</f>
        <v>0.66666666666666663</v>
      </c>
      <c r="F189" s="8">
        <f>C189/D189</f>
        <v>0.33333333333333331</v>
      </c>
    </row>
    <row r="190" spans="1:6" x14ac:dyDescent="0.25">
      <c r="A190" s="5" t="s">
        <v>16</v>
      </c>
      <c r="B190" s="6"/>
      <c r="C190" s="7"/>
      <c r="D190" s="2"/>
      <c r="E190" s="8"/>
      <c r="F190" s="8"/>
    </row>
    <row r="191" spans="1:6" x14ac:dyDescent="0.25">
      <c r="A191" s="9" t="s">
        <v>17</v>
      </c>
      <c r="B191" s="6">
        <f>SUM(B179:B190)</f>
        <v>2</v>
      </c>
      <c r="C191" s="7">
        <f>SUM(C179:C190)</f>
        <v>1</v>
      </c>
      <c r="D191" s="2">
        <f>SUM(D179:D190)</f>
        <v>3</v>
      </c>
      <c r="E191" s="8">
        <f>B191/D191</f>
        <v>0.66666666666666663</v>
      </c>
      <c r="F191" s="8">
        <f>C191/D191</f>
        <v>0.33333333333333331</v>
      </c>
    </row>
  </sheetData>
  <mergeCells count="12">
    <mergeCell ref="A1:A2"/>
    <mergeCell ref="A177:A178"/>
    <mergeCell ref="A145:A146"/>
    <mergeCell ref="A33:A34"/>
    <mergeCell ref="A49:A50"/>
    <mergeCell ref="A97:A98"/>
    <mergeCell ref="A129:A130"/>
    <mergeCell ref="A65:A66"/>
    <mergeCell ref="A81:A82"/>
    <mergeCell ref="A17:A18"/>
    <mergeCell ref="A113:A114"/>
    <mergeCell ref="A161:A16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21C1-A669-4C61-A04E-5DE1E7655187}">
  <sheetPr codeName="Planilha2"/>
  <dimension ref="A1:B15"/>
  <sheetViews>
    <sheetView workbookViewId="0">
      <selection activeCell="B13" sqref="B13"/>
    </sheetView>
  </sheetViews>
  <sheetFormatPr defaultRowHeight="15" x14ac:dyDescent="0.25"/>
  <cols>
    <col min="1" max="1" width="39.140625" customWidth="1"/>
  </cols>
  <sheetData>
    <row r="1" spans="1:2" x14ac:dyDescent="0.25">
      <c r="A1" s="18" t="s">
        <v>19</v>
      </c>
      <c r="B1" s="18" t="s">
        <v>17</v>
      </c>
    </row>
    <row r="2" spans="1:2" x14ac:dyDescent="0.25">
      <c r="A2" s="19"/>
      <c r="B2" s="20"/>
    </row>
    <row r="3" spans="1:2" x14ac:dyDescent="0.25">
      <c r="A3" s="5" t="s">
        <v>5</v>
      </c>
      <c r="B3" s="6"/>
    </row>
    <row r="4" spans="1:2" x14ac:dyDescent="0.25">
      <c r="A4" s="5" t="s">
        <v>6</v>
      </c>
      <c r="B4" s="6"/>
    </row>
    <row r="5" spans="1:2" x14ac:dyDescent="0.25">
      <c r="A5" s="5" t="s">
        <v>7</v>
      </c>
      <c r="B5" s="6"/>
    </row>
    <row r="6" spans="1:2" x14ac:dyDescent="0.25">
      <c r="A6" s="5" t="s">
        <v>8</v>
      </c>
      <c r="B6" s="6"/>
    </row>
    <row r="7" spans="1:2" x14ac:dyDescent="0.25">
      <c r="A7" s="5" t="s">
        <v>9</v>
      </c>
      <c r="B7" s="6"/>
    </row>
    <row r="8" spans="1:2" x14ac:dyDescent="0.25">
      <c r="A8" s="5" t="s">
        <v>10</v>
      </c>
      <c r="B8" s="6"/>
    </row>
    <row r="9" spans="1:2" x14ac:dyDescent="0.25">
      <c r="A9" s="5" t="s">
        <v>11</v>
      </c>
      <c r="B9" s="6"/>
    </row>
    <row r="10" spans="1:2" x14ac:dyDescent="0.25">
      <c r="A10" s="5" t="s">
        <v>12</v>
      </c>
      <c r="B10" s="6"/>
    </row>
    <row r="11" spans="1:2" x14ac:dyDescent="0.25">
      <c r="A11" s="5" t="s">
        <v>13</v>
      </c>
      <c r="B11" s="6"/>
    </row>
    <row r="12" spans="1:2" x14ac:dyDescent="0.25">
      <c r="A12" s="5" t="s">
        <v>14</v>
      </c>
      <c r="B12" s="6"/>
    </row>
    <row r="13" spans="1:2" x14ac:dyDescent="0.25">
      <c r="A13" s="5" t="s">
        <v>15</v>
      </c>
      <c r="B13" s="6"/>
    </row>
    <row r="14" spans="1:2" x14ac:dyDescent="0.25">
      <c r="A14" s="5" t="s">
        <v>16</v>
      </c>
      <c r="B14" s="6"/>
    </row>
    <row r="15" spans="1:2" x14ac:dyDescent="0.25">
      <c r="A15" s="9" t="s">
        <v>17</v>
      </c>
      <c r="B15" s="6">
        <f>SUM(B3:B14)</f>
        <v>0</v>
      </c>
    </row>
  </sheetData>
  <mergeCells count="2">
    <mergeCell ref="A1:A2"/>
    <mergeCell ref="B1:B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595D-59E8-49A4-B0BF-59E2482D360C}">
  <sheetPr codeName="Planilha3"/>
  <dimension ref="A1:BK19"/>
  <sheetViews>
    <sheetView topLeftCell="Z1" zoomScaleNormal="100" workbookViewId="0">
      <selection activeCell="AL3" sqref="AL3"/>
    </sheetView>
  </sheetViews>
  <sheetFormatPr defaultRowHeight="15" x14ac:dyDescent="0.25"/>
  <cols>
    <col min="1" max="1" width="71.5703125" bestFit="1" customWidth="1"/>
    <col min="2" max="2" width="4" customWidth="1"/>
    <col min="3" max="3" width="5" customWidth="1"/>
    <col min="4" max="4" width="2.5703125" customWidth="1"/>
    <col min="5" max="5" width="4.140625" customWidth="1"/>
    <col min="6" max="6" width="5.28515625" customWidth="1"/>
    <col min="7" max="7" width="6.140625" customWidth="1"/>
    <col min="8" max="8" width="3.85546875" customWidth="1"/>
    <col min="9" max="9" width="4.28515625" customWidth="1"/>
    <col min="10" max="10" width="5.85546875" customWidth="1"/>
    <col min="11" max="11" width="5.28515625" customWidth="1"/>
    <col min="12" max="12" width="4.42578125" customWidth="1"/>
    <col min="13" max="13" width="5.5703125" bestFit="1" customWidth="1"/>
    <col min="14" max="14" width="4.28515625" customWidth="1"/>
    <col min="15" max="15" width="5.5703125" customWidth="1"/>
    <col min="16" max="16" width="4.140625" customWidth="1"/>
    <col min="17" max="17" width="5.28515625" customWidth="1"/>
    <col min="18" max="18" width="4" customWidth="1"/>
    <col min="19" max="19" width="5" customWidth="1"/>
    <col min="20" max="20" width="4.42578125" customWidth="1"/>
    <col min="21" max="21" width="6.140625" customWidth="1"/>
    <col min="22" max="22" width="3.85546875" customWidth="1"/>
    <col min="23" max="24" width="5.28515625" customWidth="1"/>
    <col min="25" max="25" width="6.7109375" customWidth="1"/>
    <col min="26" max="26" width="4.28515625" customWidth="1"/>
    <col min="27" max="27" width="5.5703125" customWidth="1"/>
    <col min="28" max="28" width="4.140625" customWidth="1"/>
    <col min="29" max="29" width="5.28515625" customWidth="1"/>
    <col min="30" max="30" width="4" customWidth="1"/>
    <col min="31" max="31" width="5" customWidth="1"/>
    <col min="32" max="32" width="4.42578125" customWidth="1"/>
    <col min="33" max="33" width="6.140625" customWidth="1"/>
    <col min="34" max="34" width="3.85546875" customWidth="1"/>
    <col min="35" max="36" width="5.28515625" customWidth="1"/>
    <col min="37" max="37" width="6.7109375" customWidth="1"/>
    <col min="38" max="38" width="4.28515625" customWidth="1"/>
    <col min="39" max="39" width="5.5703125" customWidth="1"/>
    <col min="40" max="40" width="4.140625" customWidth="1"/>
    <col min="41" max="41" width="5.28515625" customWidth="1"/>
    <col min="42" max="42" width="4" customWidth="1"/>
    <col min="43" max="43" width="5" customWidth="1"/>
    <col min="44" max="44" width="4.42578125" customWidth="1"/>
    <col min="45" max="45" width="6.140625" customWidth="1"/>
    <col min="46" max="46" width="3.85546875" customWidth="1"/>
    <col min="47" max="48" width="5.28515625" customWidth="1"/>
    <col min="49" max="49" width="6.7109375" customWidth="1"/>
  </cols>
  <sheetData>
    <row r="1" spans="1:63" x14ac:dyDescent="0.25">
      <c r="A1" s="21" t="s">
        <v>35</v>
      </c>
      <c r="B1" s="23" t="s">
        <v>65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5"/>
      <c r="N1" s="23" t="s">
        <v>66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5"/>
      <c r="Z1" s="23" t="s">
        <v>67</v>
      </c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5"/>
      <c r="AL1" s="23" t="s">
        <v>68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5"/>
      <c r="AX1" s="23" t="s">
        <v>17</v>
      </c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6"/>
      <c r="BJ1" s="26"/>
      <c r="BK1" s="26"/>
    </row>
    <row r="2" spans="1:6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37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5" t="s">
        <v>39</v>
      </c>
      <c r="AY2" s="15" t="s">
        <v>40</v>
      </c>
      <c r="AZ2" s="15" t="s">
        <v>44</v>
      </c>
      <c r="BA2" s="15" t="s">
        <v>20</v>
      </c>
      <c r="BB2" s="15" t="s">
        <v>45</v>
      </c>
      <c r="BC2" s="15" t="s">
        <v>42</v>
      </c>
      <c r="BD2" s="15" t="s">
        <v>43</v>
      </c>
      <c r="BE2" s="15" t="s">
        <v>36</v>
      </c>
      <c r="BF2" s="15" t="s">
        <v>46</v>
      </c>
      <c r="BG2" s="15" t="s">
        <v>38</v>
      </c>
      <c r="BH2" s="15" t="s">
        <v>41</v>
      </c>
      <c r="BI2" s="15" t="s">
        <v>37</v>
      </c>
      <c r="BJ2" s="16" t="s">
        <v>17</v>
      </c>
    </row>
    <row r="3" spans="1:63" x14ac:dyDescent="0.25">
      <c r="A3" s="12" t="s">
        <v>17</v>
      </c>
      <c r="B3" s="10">
        <f>SUM(B4:B18)</f>
        <v>0</v>
      </c>
      <c r="C3" s="10">
        <f t="shared" ref="C3:M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0">
        <f>SUM(N4:N18)</f>
        <v>0</v>
      </c>
      <c r="O3" s="10">
        <f t="shared" ref="O3:Y3" si="1">SUM(O4:O18)</f>
        <v>0</v>
      </c>
      <c r="P3" s="10">
        <f t="shared" si="1"/>
        <v>0</v>
      </c>
      <c r="Q3" s="10">
        <f t="shared" si="1"/>
        <v>0</v>
      </c>
      <c r="R3" s="10">
        <f t="shared" si="1"/>
        <v>0</v>
      </c>
      <c r="S3" s="10">
        <f t="shared" si="1"/>
        <v>0</v>
      </c>
      <c r="T3" s="10">
        <f t="shared" si="1"/>
        <v>0</v>
      </c>
      <c r="U3" s="10">
        <f t="shared" si="1"/>
        <v>0</v>
      </c>
      <c r="V3" s="10">
        <f t="shared" si="1"/>
        <v>0</v>
      </c>
      <c r="W3" s="10">
        <f t="shared" si="1"/>
        <v>0</v>
      </c>
      <c r="X3" s="10">
        <f t="shared" si="1"/>
        <v>0</v>
      </c>
      <c r="Y3" s="10">
        <f t="shared" si="1"/>
        <v>0</v>
      </c>
      <c r="Z3" s="10">
        <f>SUM(Z4:Z18)</f>
        <v>0</v>
      </c>
      <c r="AA3" s="10">
        <f t="shared" ref="AA3:AK3" si="2">SUM(AA4:AA18)</f>
        <v>0</v>
      </c>
      <c r="AB3" s="10">
        <f t="shared" si="2"/>
        <v>0</v>
      </c>
      <c r="AC3" s="10">
        <f t="shared" si="2"/>
        <v>0</v>
      </c>
      <c r="AD3" s="10">
        <f t="shared" si="2"/>
        <v>0</v>
      </c>
      <c r="AE3" s="10">
        <f t="shared" si="2"/>
        <v>0</v>
      </c>
      <c r="AF3" s="10">
        <f t="shared" si="2"/>
        <v>0</v>
      </c>
      <c r="AG3" s="10">
        <f t="shared" si="2"/>
        <v>0</v>
      </c>
      <c r="AH3" s="10">
        <f t="shared" si="2"/>
        <v>0</v>
      </c>
      <c r="AI3" s="10">
        <f t="shared" si="2"/>
        <v>0</v>
      </c>
      <c r="AJ3" s="10">
        <f t="shared" si="2"/>
        <v>0</v>
      </c>
      <c r="AK3" s="10">
        <f t="shared" si="2"/>
        <v>0</v>
      </c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4">
        <f t="shared" ref="AX3:BI3" si="3">SUM(AX4:AX18)</f>
        <v>0</v>
      </c>
      <c r="AY3" s="14">
        <f t="shared" si="3"/>
        <v>0</v>
      </c>
      <c r="AZ3" s="14">
        <f t="shared" si="3"/>
        <v>0</v>
      </c>
      <c r="BA3" s="14">
        <f t="shared" si="3"/>
        <v>0</v>
      </c>
      <c r="BB3" s="14">
        <f t="shared" si="3"/>
        <v>0</v>
      </c>
      <c r="BC3" s="14">
        <f t="shared" si="3"/>
        <v>0</v>
      </c>
      <c r="BD3" s="14">
        <f t="shared" si="3"/>
        <v>0</v>
      </c>
      <c r="BE3" s="14">
        <f t="shared" si="3"/>
        <v>0</v>
      </c>
      <c r="BF3" s="14">
        <f t="shared" si="3"/>
        <v>0</v>
      </c>
      <c r="BG3" s="14">
        <f t="shared" si="3"/>
        <v>0</v>
      </c>
      <c r="BH3" s="14">
        <f t="shared" si="3"/>
        <v>0</v>
      </c>
      <c r="BI3" s="14">
        <f t="shared" si="3"/>
        <v>0</v>
      </c>
      <c r="BJ3" s="14">
        <f>SUM(BJ4:BJ18)</f>
        <v>0</v>
      </c>
    </row>
    <row r="4" spans="1:63" x14ac:dyDescent="0.25">
      <c r="A4" t="s">
        <v>21</v>
      </c>
      <c r="B4" s="11">
        <f>Neomater!AL4+Neomater!AX4</f>
        <v>0</v>
      </c>
      <c r="C4" s="11">
        <f>Neomater!AM4+Neomater!AY4</f>
        <v>0</v>
      </c>
      <c r="D4" s="11">
        <f>Neomater!AN4+Neomater!AZ4</f>
        <v>0</v>
      </c>
      <c r="E4" s="11">
        <f>Neomater!AO4+Neomater!BA4</f>
        <v>0</v>
      </c>
      <c r="F4" s="11">
        <f>Neomater!AP4+Neomater!BB4</f>
        <v>0</v>
      </c>
      <c r="G4" s="11">
        <f>Neomater!AQ4+Neomater!BC4</f>
        <v>0</v>
      </c>
      <c r="H4" s="11">
        <f>Neomater!AR4+Neomater!BD4</f>
        <v>0</v>
      </c>
      <c r="I4" s="11">
        <f>Neomater!AS4+Neomater!BE4</f>
        <v>0</v>
      </c>
      <c r="J4" s="11">
        <f>Neomater!AT4+Neomater!BF4</f>
        <v>0</v>
      </c>
      <c r="K4" s="11">
        <f>Neomater!AU4+Neomater!BG4</f>
        <v>0</v>
      </c>
      <c r="L4" s="11">
        <f>Neomater!AV4+Neomater!BH4</f>
        <v>0</v>
      </c>
      <c r="M4" s="11">
        <f>Neomater!AW4+Neomater!BI4</f>
        <v>0</v>
      </c>
      <c r="N4" s="11">
        <f>Neotin!AA4+Neotin!AM4</f>
        <v>0</v>
      </c>
      <c r="O4" s="11">
        <f>Neotin!AB4+Neotin!AN4</f>
        <v>0</v>
      </c>
      <c r="P4" s="11">
        <f>Neotin!AC4+Neotin!AO4</f>
        <v>0</v>
      </c>
      <c r="Q4" s="11">
        <f>Neotin!AD4+Neotin!AP4</f>
        <v>0</v>
      </c>
      <c r="R4" s="11">
        <f>Neotin!AE4+Neotin!AQ4</f>
        <v>0</v>
      </c>
      <c r="S4" s="11">
        <f>Neotin!AF4+Neotin!AR4</f>
        <v>0</v>
      </c>
      <c r="T4" s="11">
        <f>Neotin!AG4+Neotin!AS4</f>
        <v>0</v>
      </c>
      <c r="U4" s="11">
        <f>Neotin!AH4+Neotin!AT4</f>
        <v>0</v>
      </c>
      <c r="V4" s="11">
        <f>Neotin!AI4+Neotin!AU4</f>
        <v>0</v>
      </c>
      <c r="W4" s="11">
        <f>Neotin!AJ4+Neotin!AV4</f>
        <v>0</v>
      </c>
      <c r="X4" s="11">
        <f>Neotin!AK4+Neotin!AW4</f>
        <v>0</v>
      </c>
      <c r="Y4" s="11">
        <f>Neotin!AL4+Neotin!AX4</f>
        <v>0</v>
      </c>
      <c r="Z4" s="11">
        <f>ProntoBaby!Q4+ProntoBaby!AC4</f>
        <v>0</v>
      </c>
      <c r="AA4" s="11">
        <f>ProntoBaby!R4+ProntoBaby!AD4</f>
        <v>0</v>
      </c>
      <c r="AB4" s="11">
        <f>ProntoBaby!S4+ProntoBaby!AE4</f>
        <v>0</v>
      </c>
      <c r="AC4" s="11">
        <f>ProntoBaby!T4+ProntoBaby!AF4</f>
        <v>0</v>
      </c>
      <c r="AD4" s="11">
        <f>ProntoBaby!U4+ProntoBaby!AG4</f>
        <v>0</v>
      </c>
      <c r="AE4" s="11">
        <f>ProntoBaby!V4+ProntoBaby!AH4</f>
        <v>0</v>
      </c>
      <c r="AF4" s="11">
        <f>ProntoBaby!W4+ProntoBaby!AI4</f>
        <v>0</v>
      </c>
      <c r="AG4" s="11">
        <f>ProntoBaby!X4+ProntoBaby!AJ4</f>
        <v>0</v>
      </c>
      <c r="AH4" s="11">
        <f>ProntoBaby!Y4+ProntoBaby!AK4</f>
        <v>0</v>
      </c>
      <c r="AI4" s="11">
        <f>ProntoBaby!Z4+ProntoBaby!AL4</f>
        <v>0</v>
      </c>
      <c r="AJ4" s="11">
        <f>ProntoBaby!AA4+ProntoBaby!AM4</f>
        <v>0</v>
      </c>
      <c r="AK4" s="11">
        <f>ProntoBaby!AB4+ProntoBaby!AN4</f>
        <v>0</v>
      </c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4">
        <f>B4+N4+Z4+AL4</f>
        <v>0</v>
      </c>
      <c r="AY4" s="14">
        <f t="shared" ref="AY4:BI4" si="4">C4+O4+AA4+AM4</f>
        <v>0</v>
      </c>
      <c r="AZ4" s="14">
        <f t="shared" si="4"/>
        <v>0</v>
      </c>
      <c r="BA4" s="14">
        <f t="shared" si="4"/>
        <v>0</v>
      </c>
      <c r="BB4" s="14">
        <f t="shared" si="4"/>
        <v>0</v>
      </c>
      <c r="BC4" s="14">
        <f t="shared" si="4"/>
        <v>0</v>
      </c>
      <c r="BD4" s="14">
        <f t="shared" si="4"/>
        <v>0</v>
      </c>
      <c r="BE4" s="14">
        <f t="shared" si="4"/>
        <v>0</v>
      </c>
      <c r="BF4" s="14">
        <f t="shared" si="4"/>
        <v>0</v>
      </c>
      <c r="BG4" s="14">
        <f t="shared" si="4"/>
        <v>0</v>
      </c>
      <c r="BH4" s="14">
        <f t="shared" si="4"/>
        <v>0</v>
      </c>
      <c r="BI4" s="14">
        <f t="shared" si="4"/>
        <v>0</v>
      </c>
      <c r="BJ4" s="14">
        <f t="shared" ref="BJ4:BJ17" si="5">SUM(AX4:BI4)</f>
        <v>0</v>
      </c>
    </row>
    <row r="5" spans="1:63" x14ac:dyDescent="0.25">
      <c r="A5" t="s">
        <v>22</v>
      </c>
      <c r="B5" s="11">
        <f>Neomater!AL5+Neomater!AX5</f>
        <v>0</v>
      </c>
      <c r="C5" s="11">
        <f>Neomater!AM5+Neomater!AY5</f>
        <v>0</v>
      </c>
      <c r="D5" s="11">
        <f>Neomater!AN5+Neomater!AZ5</f>
        <v>0</v>
      </c>
      <c r="E5" s="11">
        <f>Neomater!AO5+Neomater!BA5</f>
        <v>0</v>
      </c>
      <c r="F5" s="11">
        <f>Neomater!AP5+Neomater!BB5</f>
        <v>0</v>
      </c>
      <c r="G5" s="11">
        <f>Neomater!AQ5+Neomater!BC5</f>
        <v>0</v>
      </c>
      <c r="H5" s="11">
        <f>Neomater!AR5+Neomater!BD5</f>
        <v>0</v>
      </c>
      <c r="I5" s="11">
        <f>Neomater!AS5+Neomater!BE5</f>
        <v>0</v>
      </c>
      <c r="J5" s="11">
        <f>Neomater!AT5+Neomater!BF5</f>
        <v>0</v>
      </c>
      <c r="K5" s="11">
        <f>Neomater!AU5+Neomater!BG5</f>
        <v>0</v>
      </c>
      <c r="L5" s="11">
        <f>Neomater!AV5+Neomater!BH5</f>
        <v>0</v>
      </c>
      <c r="M5" s="11">
        <f>Neomater!AW5+Neomater!BI5</f>
        <v>0</v>
      </c>
      <c r="N5" s="11">
        <f>Neotin!AA5+Neotin!AM5</f>
        <v>0</v>
      </c>
      <c r="O5" s="11">
        <f>Neotin!AB5+Neotin!AN5</f>
        <v>0</v>
      </c>
      <c r="P5" s="11">
        <f>Neotin!AC5+Neotin!AO5</f>
        <v>0</v>
      </c>
      <c r="Q5" s="11">
        <f>Neotin!AD5+Neotin!AP5</f>
        <v>0</v>
      </c>
      <c r="R5" s="11">
        <f>Neotin!AE5+Neotin!AQ5</f>
        <v>0</v>
      </c>
      <c r="S5" s="11">
        <f>Neotin!AF5+Neotin!AR5</f>
        <v>0</v>
      </c>
      <c r="T5" s="11">
        <f>Neotin!AG5+Neotin!AS5</f>
        <v>0</v>
      </c>
      <c r="U5" s="11">
        <f>Neotin!AH5+Neotin!AT5</f>
        <v>0</v>
      </c>
      <c r="V5" s="11">
        <f>Neotin!AI5+Neotin!AU5</f>
        <v>0</v>
      </c>
      <c r="W5" s="11">
        <f>Neotin!AJ5+Neotin!AV5</f>
        <v>0</v>
      </c>
      <c r="X5" s="11">
        <f>Neotin!AK5+Neotin!AW5</f>
        <v>0</v>
      </c>
      <c r="Y5" s="11">
        <f>Neotin!AL5+Neotin!AX5</f>
        <v>0</v>
      </c>
      <c r="Z5" s="11">
        <f>ProntoBaby!Q5+ProntoBaby!AC5</f>
        <v>0</v>
      </c>
      <c r="AA5" s="11">
        <f>ProntoBaby!R5+ProntoBaby!AD5</f>
        <v>0</v>
      </c>
      <c r="AB5" s="11">
        <f>ProntoBaby!S5+ProntoBaby!AE5</f>
        <v>0</v>
      </c>
      <c r="AC5" s="11">
        <f>ProntoBaby!T5+ProntoBaby!AF5</f>
        <v>0</v>
      </c>
      <c r="AD5" s="11">
        <f>ProntoBaby!U5+ProntoBaby!AG5</f>
        <v>0</v>
      </c>
      <c r="AE5" s="11">
        <f>ProntoBaby!V5+ProntoBaby!AH5</f>
        <v>0</v>
      </c>
      <c r="AF5" s="11">
        <f>ProntoBaby!W5+ProntoBaby!AI5</f>
        <v>0</v>
      </c>
      <c r="AG5" s="11">
        <f>ProntoBaby!X5+ProntoBaby!AJ5</f>
        <v>0</v>
      </c>
      <c r="AH5" s="11">
        <f>ProntoBaby!Y5+ProntoBaby!AK5</f>
        <v>0</v>
      </c>
      <c r="AI5" s="11">
        <f>ProntoBaby!Z5+ProntoBaby!AL5</f>
        <v>0</v>
      </c>
      <c r="AJ5" s="11">
        <f>ProntoBaby!AA5+ProntoBaby!AM5</f>
        <v>0</v>
      </c>
      <c r="AK5" s="11">
        <f>ProntoBaby!AB5+ProntoBaby!AN5</f>
        <v>0</v>
      </c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4">
        <f t="shared" ref="AX5:AX18" si="6">B5+N5+Z5+AL5</f>
        <v>0</v>
      </c>
      <c r="AY5" s="14">
        <f t="shared" ref="AY5:AY18" si="7">C5+O5+AA5+AM5</f>
        <v>0</v>
      </c>
      <c r="AZ5" s="14">
        <f t="shared" ref="AZ5:AZ18" si="8">D5+P5+AB5+AN5</f>
        <v>0</v>
      </c>
      <c r="BA5" s="14">
        <f t="shared" ref="BA5:BA18" si="9">E5+Q5+AC5+AO5</f>
        <v>0</v>
      </c>
      <c r="BB5" s="14">
        <f t="shared" ref="BB5:BB18" si="10">F5+R5+AD5+AP5</f>
        <v>0</v>
      </c>
      <c r="BC5" s="14">
        <f t="shared" ref="BC5:BC18" si="11">G5+S5+AE5+AQ5</f>
        <v>0</v>
      </c>
      <c r="BD5" s="14">
        <f t="shared" ref="BD5:BD18" si="12">H5+T5+AF5+AR5</f>
        <v>0</v>
      </c>
      <c r="BE5" s="14">
        <f t="shared" ref="BE5:BE18" si="13">I5+U5+AG5+AS5</f>
        <v>0</v>
      </c>
      <c r="BF5" s="14">
        <f t="shared" ref="BF5:BF18" si="14">J5+V5+AH5+AT5</f>
        <v>0</v>
      </c>
      <c r="BG5" s="14">
        <f t="shared" ref="BG5:BG18" si="15">K5+W5+AI5+AU5</f>
        <v>0</v>
      </c>
      <c r="BH5" s="14">
        <f t="shared" ref="BH5:BH18" si="16">L5+X5+AJ5+AV5</f>
        <v>0</v>
      </c>
      <c r="BI5" s="14">
        <f t="shared" ref="BI5:BI18" si="17">M5+Y5+AK5+AW5</f>
        <v>0</v>
      </c>
      <c r="BJ5" s="14">
        <f t="shared" si="5"/>
        <v>0</v>
      </c>
    </row>
    <row r="6" spans="1:63" x14ac:dyDescent="0.25">
      <c r="A6" t="s">
        <v>23</v>
      </c>
      <c r="B6" s="11">
        <f>Neomater!AL6+Neomater!AX6</f>
        <v>0</v>
      </c>
      <c r="C6" s="11">
        <f>Neomater!AM6+Neomater!AY6</f>
        <v>0</v>
      </c>
      <c r="D6" s="11">
        <f>Neomater!AN6+Neomater!AZ6</f>
        <v>0</v>
      </c>
      <c r="E6" s="11">
        <f>Neomater!AO6+Neomater!BA6</f>
        <v>0</v>
      </c>
      <c r="F6" s="11">
        <f>Neomater!AP6+Neomater!BB6</f>
        <v>0</v>
      </c>
      <c r="G6" s="11">
        <f>Neomater!AQ6+Neomater!BC6</f>
        <v>0</v>
      </c>
      <c r="H6" s="11">
        <f>Neomater!AR6+Neomater!BD6</f>
        <v>0</v>
      </c>
      <c r="I6" s="11">
        <f>Neomater!AS6+Neomater!BE6</f>
        <v>0</v>
      </c>
      <c r="J6" s="11">
        <f>Neomater!AT6+Neomater!BF6</f>
        <v>0</v>
      </c>
      <c r="K6" s="11">
        <f>Neomater!AU6+Neomater!BG6</f>
        <v>0</v>
      </c>
      <c r="L6" s="11">
        <f>Neomater!AV6+Neomater!BH6</f>
        <v>0</v>
      </c>
      <c r="M6" s="11">
        <f>Neomater!AW6+Neomater!BI6</f>
        <v>0</v>
      </c>
      <c r="N6" s="11">
        <f>Neotin!AA6+Neotin!AM6</f>
        <v>0</v>
      </c>
      <c r="O6" s="11">
        <f>Neotin!AB6+Neotin!AN6</f>
        <v>0</v>
      </c>
      <c r="P6" s="11">
        <f>Neotin!AC6+Neotin!AO6</f>
        <v>0</v>
      </c>
      <c r="Q6" s="11">
        <f>Neotin!AD6+Neotin!AP6</f>
        <v>0</v>
      </c>
      <c r="R6" s="11">
        <f>Neotin!AE6+Neotin!AQ6</f>
        <v>0</v>
      </c>
      <c r="S6" s="11">
        <f>Neotin!AF6+Neotin!AR6</f>
        <v>0</v>
      </c>
      <c r="T6" s="11">
        <f>Neotin!AG6+Neotin!AS6</f>
        <v>0</v>
      </c>
      <c r="U6" s="11">
        <f>Neotin!AH6+Neotin!AT6</f>
        <v>0</v>
      </c>
      <c r="V6" s="11">
        <f>Neotin!AI6+Neotin!AU6</f>
        <v>0</v>
      </c>
      <c r="W6" s="11">
        <f>Neotin!AJ6+Neotin!AV6</f>
        <v>0</v>
      </c>
      <c r="X6" s="11">
        <f>Neotin!AK6+Neotin!AW6</f>
        <v>0</v>
      </c>
      <c r="Y6" s="11">
        <f>Neotin!AL6+Neotin!AX6</f>
        <v>0</v>
      </c>
      <c r="Z6" s="11">
        <f>ProntoBaby!Q6+ProntoBaby!AC6</f>
        <v>0</v>
      </c>
      <c r="AA6" s="11">
        <f>ProntoBaby!R6+ProntoBaby!AD6</f>
        <v>0</v>
      </c>
      <c r="AB6" s="11">
        <f>ProntoBaby!S6+ProntoBaby!AE6</f>
        <v>0</v>
      </c>
      <c r="AC6" s="11">
        <f>ProntoBaby!T6+ProntoBaby!AF6</f>
        <v>0</v>
      </c>
      <c r="AD6" s="11">
        <f>ProntoBaby!U6+ProntoBaby!AG6</f>
        <v>0</v>
      </c>
      <c r="AE6" s="11">
        <f>ProntoBaby!V6+ProntoBaby!AH6</f>
        <v>0</v>
      </c>
      <c r="AF6" s="11">
        <f>ProntoBaby!W6+ProntoBaby!AI6</f>
        <v>0</v>
      </c>
      <c r="AG6" s="11">
        <f>ProntoBaby!X6+ProntoBaby!AJ6</f>
        <v>0</v>
      </c>
      <c r="AH6" s="11">
        <f>ProntoBaby!Y6+ProntoBaby!AK6</f>
        <v>0</v>
      </c>
      <c r="AI6" s="11">
        <f>ProntoBaby!Z6+ProntoBaby!AL6</f>
        <v>0</v>
      </c>
      <c r="AJ6" s="11">
        <f>ProntoBaby!AA6+ProntoBaby!AM6</f>
        <v>0</v>
      </c>
      <c r="AK6" s="11">
        <f>ProntoBaby!AB6+ProntoBaby!AN6</f>
        <v>0</v>
      </c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4">
        <f t="shared" si="6"/>
        <v>0</v>
      </c>
      <c r="AY6" s="14">
        <f t="shared" si="7"/>
        <v>0</v>
      </c>
      <c r="AZ6" s="14">
        <f t="shared" si="8"/>
        <v>0</v>
      </c>
      <c r="BA6" s="14">
        <f t="shared" si="9"/>
        <v>0</v>
      </c>
      <c r="BB6" s="14">
        <f t="shared" si="10"/>
        <v>0</v>
      </c>
      <c r="BC6" s="14">
        <f t="shared" si="11"/>
        <v>0</v>
      </c>
      <c r="BD6" s="14">
        <f t="shared" si="12"/>
        <v>0</v>
      </c>
      <c r="BE6" s="14">
        <f t="shared" si="13"/>
        <v>0</v>
      </c>
      <c r="BF6" s="14">
        <f t="shared" si="14"/>
        <v>0</v>
      </c>
      <c r="BG6" s="14">
        <f t="shared" si="15"/>
        <v>0</v>
      </c>
      <c r="BH6" s="14">
        <f t="shared" si="16"/>
        <v>0</v>
      </c>
      <c r="BI6" s="14">
        <f t="shared" si="17"/>
        <v>0</v>
      </c>
      <c r="BJ6" s="14">
        <f t="shared" si="5"/>
        <v>0</v>
      </c>
    </row>
    <row r="7" spans="1:63" x14ac:dyDescent="0.25">
      <c r="A7" t="s">
        <v>59</v>
      </c>
      <c r="B7" s="11">
        <f>Neomater!AL7+Neomater!AX7</f>
        <v>0</v>
      </c>
      <c r="C7" s="11">
        <f>Neomater!AM7+Neomater!AY7</f>
        <v>0</v>
      </c>
      <c r="D7" s="11">
        <f>Neomater!AN7+Neomater!AZ7</f>
        <v>0</v>
      </c>
      <c r="E7" s="11">
        <f>Neomater!AO7+Neomater!BA7</f>
        <v>0</v>
      </c>
      <c r="F7" s="11">
        <f>Neomater!AP7+Neomater!BB7</f>
        <v>0</v>
      </c>
      <c r="G7" s="11">
        <f>Neomater!AQ7+Neomater!BC7</f>
        <v>0</v>
      </c>
      <c r="H7" s="11">
        <f>Neomater!AR7+Neomater!BD7</f>
        <v>0</v>
      </c>
      <c r="I7" s="11">
        <f>Neomater!AS7+Neomater!BE7</f>
        <v>0</v>
      </c>
      <c r="J7" s="11">
        <f>Neomater!AT7+Neomater!BF7</f>
        <v>0</v>
      </c>
      <c r="K7" s="11">
        <f>Neomater!AU7+Neomater!BG7</f>
        <v>0</v>
      </c>
      <c r="L7" s="11">
        <f>Neomater!AV7+Neomater!BH7</f>
        <v>0</v>
      </c>
      <c r="M7" s="11">
        <f>Neomater!AW7+Neomater!BI7</f>
        <v>0</v>
      </c>
      <c r="N7" s="11">
        <f>Neotin!AA7+Neotin!AM7</f>
        <v>0</v>
      </c>
      <c r="O7" s="11">
        <f>Neotin!AB7+Neotin!AN7</f>
        <v>0</v>
      </c>
      <c r="P7" s="11">
        <f>Neotin!AC7+Neotin!AO7</f>
        <v>0</v>
      </c>
      <c r="Q7" s="11">
        <f>Neotin!AD7+Neotin!AP7</f>
        <v>0</v>
      </c>
      <c r="R7" s="11">
        <f>Neotin!AE7+Neotin!AQ7</f>
        <v>0</v>
      </c>
      <c r="S7" s="11">
        <f>Neotin!AF7+Neotin!AR7</f>
        <v>0</v>
      </c>
      <c r="T7" s="11">
        <f>Neotin!AG7+Neotin!AS7</f>
        <v>0</v>
      </c>
      <c r="U7" s="11">
        <f>Neotin!AH7+Neotin!AT7</f>
        <v>0</v>
      </c>
      <c r="V7" s="11">
        <f>Neotin!AI7+Neotin!AU7</f>
        <v>0</v>
      </c>
      <c r="W7" s="11">
        <f>Neotin!AJ7+Neotin!AV7</f>
        <v>0</v>
      </c>
      <c r="X7" s="11">
        <f>Neotin!AK7+Neotin!AW7</f>
        <v>0</v>
      </c>
      <c r="Y7" s="11">
        <f>Neotin!AL7+Neotin!AX7</f>
        <v>0</v>
      </c>
      <c r="Z7" s="11">
        <f>ProntoBaby!Q7+ProntoBaby!AC7</f>
        <v>0</v>
      </c>
      <c r="AA7" s="11">
        <f>ProntoBaby!R7+ProntoBaby!AD7</f>
        <v>0</v>
      </c>
      <c r="AB7" s="11">
        <f>ProntoBaby!S7+ProntoBaby!AE7</f>
        <v>0</v>
      </c>
      <c r="AC7" s="11">
        <f>ProntoBaby!T7+ProntoBaby!AF7</f>
        <v>0</v>
      </c>
      <c r="AD7" s="11">
        <f>ProntoBaby!U7+ProntoBaby!AG7</f>
        <v>0</v>
      </c>
      <c r="AE7" s="11">
        <f>ProntoBaby!V7+ProntoBaby!AH7</f>
        <v>0</v>
      </c>
      <c r="AF7" s="11">
        <f>ProntoBaby!W7+ProntoBaby!AI7</f>
        <v>0</v>
      </c>
      <c r="AG7" s="11">
        <f>ProntoBaby!X7+ProntoBaby!AJ7</f>
        <v>0</v>
      </c>
      <c r="AH7" s="11">
        <f>ProntoBaby!Y7+ProntoBaby!AK7</f>
        <v>0</v>
      </c>
      <c r="AI7" s="11">
        <f>ProntoBaby!Z7+ProntoBaby!AL7</f>
        <v>0</v>
      </c>
      <c r="AJ7" s="11">
        <f>ProntoBaby!AA7+ProntoBaby!AM7</f>
        <v>0</v>
      </c>
      <c r="AK7" s="11">
        <f>ProntoBaby!AB7+ProntoBaby!AN7</f>
        <v>0</v>
      </c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4">
        <f t="shared" si="6"/>
        <v>0</v>
      </c>
      <c r="AY7" s="14">
        <f t="shared" si="7"/>
        <v>0</v>
      </c>
      <c r="AZ7" s="14">
        <f t="shared" si="8"/>
        <v>0</v>
      </c>
      <c r="BA7" s="14">
        <f t="shared" si="9"/>
        <v>0</v>
      </c>
      <c r="BB7" s="14">
        <f t="shared" si="10"/>
        <v>0</v>
      </c>
      <c r="BC7" s="14">
        <f t="shared" si="11"/>
        <v>0</v>
      </c>
      <c r="BD7" s="14">
        <f t="shared" si="12"/>
        <v>0</v>
      </c>
      <c r="BE7" s="14">
        <f t="shared" si="13"/>
        <v>0</v>
      </c>
      <c r="BF7" s="14">
        <f t="shared" si="14"/>
        <v>0</v>
      </c>
      <c r="BG7" s="14">
        <f t="shared" si="15"/>
        <v>0</v>
      </c>
      <c r="BH7" s="14">
        <f t="shared" si="16"/>
        <v>0</v>
      </c>
      <c r="BI7" s="14">
        <f t="shared" si="17"/>
        <v>0</v>
      </c>
      <c r="BJ7" s="14">
        <f t="shared" si="5"/>
        <v>0</v>
      </c>
    </row>
    <row r="8" spans="1:63" x14ac:dyDescent="0.25">
      <c r="A8" t="s">
        <v>30</v>
      </c>
      <c r="B8" s="11">
        <f>Neomater!AL8+Neomater!AX8</f>
        <v>0</v>
      </c>
      <c r="C8" s="11">
        <f>Neomater!AM8+Neomater!AY8</f>
        <v>0</v>
      </c>
      <c r="D8" s="11">
        <f>Neomater!AN8+Neomater!AZ8</f>
        <v>0</v>
      </c>
      <c r="E8" s="11">
        <f>Neomater!AO8+Neomater!BA8</f>
        <v>0</v>
      </c>
      <c r="F8" s="11">
        <f>Neomater!AP8+Neomater!BB8</f>
        <v>0</v>
      </c>
      <c r="G8" s="11">
        <f>Neomater!AQ8+Neomater!BC8</f>
        <v>0</v>
      </c>
      <c r="H8" s="11">
        <f>Neomater!AR8+Neomater!BD8</f>
        <v>0</v>
      </c>
      <c r="I8" s="11">
        <f>Neomater!AS8+Neomater!BE8</f>
        <v>0</v>
      </c>
      <c r="J8" s="11">
        <f>Neomater!AT8+Neomater!BF8</f>
        <v>0</v>
      </c>
      <c r="K8" s="11">
        <f>Neomater!AU8+Neomater!BG8</f>
        <v>0</v>
      </c>
      <c r="L8" s="11">
        <f>Neomater!AV8+Neomater!BH8</f>
        <v>0</v>
      </c>
      <c r="M8" s="11">
        <f>Neomater!AW8+Neomater!BI8</f>
        <v>0</v>
      </c>
      <c r="N8" s="11">
        <f>Neotin!AA8+Neotin!AM8</f>
        <v>0</v>
      </c>
      <c r="O8" s="11">
        <f>Neotin!AB8+Neotin!AN8</f>
        <v>0</v>
      </c>
      <c r="P8" s="11">
        <f>Neotin!AC8+Neotin!AO8</f>
        <v>0</v>
      </c>
      <c r="Q8" s="11">
        <f>Neotin!AD8+Neotin!AP8</f>
        <v>0</v>
      </c>
      <c r="R8" s="11">
        <f>Neotin!AE8+Neotin!AQ8</f>
        <v>0</v>
      </c>
      <c r="S8" s="11">
        <f>Neotin!AF8+Neotin!AR8</f>
        <v>0</v>
      </c>
      <c r="T8" s="11">
        <f>Neotin!AG8+Neotin!AS8</f>
        <v>0</v>
      </c>
      <c r="U8" s="11">
        <f>Neotin!AH8+Neotin!AT8</f>
        <v>0</v>
      </c>
      <c r="V8" s="11">
        <f>Neotin!AI8+Neotin!AU8</f>
        <v>0</v>
      </c>
      <c r="W8" s="11">
        <f>Neotin!AJ8+Neotin!AV8</f>
        <v>0</v>
      </c>
      <c r="X8" s="11">
        <f>Neotin!AK8+Neotin!AW8</f>
        <v>0</v>
      </c>
      <c r="Y8" s="11">
        <f>Neotin!AL8+Neotin!AX8</f>
        <v>0</v>
      </c>
      <c r="Z8" s="11">
        <f>ProntoBaby!Q8+ProntoBaby!AC8</f>
        <v>0</v>
      </c>
      <c r="AA8" s="11">
        <f>ProntoBaby!R8+ProntoBaby!AD8</f>
        <v>0</v>
      </c>
      <c r="AB8" s="11">
        <f>ProntoBaby!S8+ProntoBaby!AE8</f>
        <v>0</v>
      </c>
      <c r="AC8" s="11">
        <f>ProntoBaby!T8+ProntoBaby!AF8</f>
        <v>0</v>
      </c>
      <c r="AD8" s="11">
        <f>ProntoBaby!U8+ProntoBaby!AG8</f>
        <v>0</v>
      </c>
      <c r="AE8" s="11">
        <f>ProntoBaby!V8+ProntoBaby!AH8</f>
        <v>0</v>
      </c>
      <c r="AF8" s="11">
        <f>ProntoBaby!W8+ProntoBaby!AI8</f>
        <v>0</v>
      </c>
      <c r="AG8" s="11">
        <f>ProntoBaby!X8+ProntoBaby!AJ8</f>
        <v>0</v>
      </c>
      <c r="AH8" s="11">
        <f>ProntoBaby!Y8+ProntoBaby!AK8</f>
        <v>0</v>
      </c>
      <c r="AI8" s="11">
        <f>ProntoBaby!Z8+ProntoBaby!AL8</f>
        <v>0</v>
      </c>
      <c r="AJ8" s="11">
        <f>ProntoBaby!AA8+ProntoBaby!AM8</f>
        <v>0</v>
      </c>
      <c r="AK8" s="11">
        <f>ProntoBaby!AB8+ProntoBaby!AN8</f>
        <v>0</v>
      </c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4">
        <f t="shared" si="6"/>
        <v>0</v>
      </c>
      <c r="AY8" s="14">
        <f t="shared" si="7"/>
        <v>0</v>
      </c>
      <c r="AZ8" s="14">
        <f t="shared" si="8"/>
        <v>0</v>
      </c>
      <c r="BA8" s="14">
        <f t="shared" si="9"/>
        <v>0</v>
      </c>
      <c r="BB8" s="14">
        <f t="shared" si="10"/>
        <v>0</v>
      </c>
      <c r="BC8" s="14">
        <f t="shared" si="11"/>
        <v>0</v>
      </c>
      <c r="BD8" s="14">
        <f t="shared" si="12"/>
        <v>0</v>
      </c>
      <c r="BE8" s="14">
        <f t="shared" si="13"/>
        <v>0</v>
      </c>
      <c r="BF8" s="14">
        <f t="shared" si="14"/>
        <v>0</v>
      </c>
      <c r="BG8" s="14">
        <f t="shared" si="15"/>
        <v>0</v>
      </c>
      <c r="BH8" s="14">
        <f t="shared" si="16"/>
        <v>0</v>
      </c>
      <c r="BI8" s="14">
        <f t="shared" si="17"/>
        <v>0</v>
      </c>
      <c r="BJ8" s="14">
        <f t="shared" si="5"/>
        <v>0</v>
      </c>
    </row>
    <row r="9" spans="1:63" x14ac:dyDescent="0.25">
      <c r="A9" t="s">
        <v>24</v>
      </c>
      <c r="B9" s="11">
        <f>Neomater!AL9+Neomater!AX9</f>
        <v>0</v>
      </c>
      <c r="C9" s="11">
        <f>Neomater!AM9+Neomater!AY9</f>
        <v>0</v>
      </c>
      <c r="D9" s="11">
        <f>Neomater!AN9+Neomater!AZ9</f>
        <v>0</v>
      </c>
      <c r="E9" s="11">
        <f>Neomater!AO9+Neomater!BA9</f>
        <v>0</v>
      </c>
      <c r="F9" s="11">
        <f>Neomater!AP9+Neomater!BB9</f>
        <v>0</v>
      </c>
      <c r="G9" s="11">
        <f>Neomater!AQ9+Neomater!BC9</f>
        <v>0</v>
      </c>
      <c r="H9" s="11">
        <f>Neomater!AR9+Neomater!BD9</f>
        <v>0</v>
      </c>
      <c r="I9" s="11">
        <f>Neomater!AS9+Neomater!BE9</f>
        <v>0</v>
      </c>
      <c r="J9" s="11">
        <f>Neomater!AT9+Neomater!BF9</f>
        <v>0</v>
      </c>
      <c r="K9" s="11">
        <f>Neomater!AU9+Neomater!BG9</f>
        <v>0</v>
      </c>
      <c r="L9" s="11">
        <f>Neomater!AV9+Neomater!BH9</f>
        <v>0</v>
      </c>
      <c r="M9" s="11">
        <f>Neomater!AW9+Neomater!BI9</f>
        <v>0</v>
      </c>
      <c r="N9" s="11">
        <f>Neotin!AA9+Neotin!AM9</f>
        <v>0</v>
      </c>
      <c r="O9" s="11">
        <f>Neotin!AB9+Neotin!AN9</f>
        <v>0</v>
      </c>
      <c r="P9" s="11">
        <f>Neotin!AC9+Neotin!AO9</f>
        <v>0</v>
      </c>
      <c r="Q9" s="11">
        <f>Neotin!AD9+Neotin!AP9</f>
        <v>0</v>
      </c>
      <c r="R9" s="11">
        <f>Neotin!AE9+Neotin!AQ9</f>
        <v>0</v>
      </c>
      <c r="S9" s="11">
        <f>Neotin!AF9+Neotin!AR9</f>
        <v>0</v>
      </c>
      <c r="T9" s="11">
        <f>Neotin!AG9+Neotin!AS9</f>
        <v>0</v>
      </c>
      <c r="U9" s="11">
        <f>Neotin!AH9+Neotin!AT9</f>
        <v>0</v>
      </c>
      <c r="V9" s="11">
        <f>Neotin!AI9+Neotin!AU9</f>
        <v>0</v>
      </c>
      <c r="W9" s="11">
        <f>Neotin!AJ9+Neotin!AV9</f>
        <v>0</v>
      </c>
      <c r="X9" s="11">
        <f>Neotin!AK9+Neotin!AW9</f>
        <v>0</v>
      </c>
      <c r="Y9" s="11">
        <f>Neotin!AL9+Neotin!AX9</f>
        <v>0</v>
      </c>
      <c r="Z9" s="11">
        <f>ProntoBaby!Q9+ProntoBaby!AC9</f>
        <v>0</v>
      </c>
      <c r="AA9" s="11">
        <f>ProntoBaby!R9+ProntoBaby!AD9</f>
        <v>0</v>
      </c>
      <c r="AB9" s="11">
        <f>ProntoBaby!S9+ProntoBaby!AE9</f>
        <v>0</v>
      </c>
      <c r="AC9" s="11">
        <f>ProntoBaby!T9+ProntoBaby!AF9</f>
        <v>0</v>
      </c>
      <c r="AD9" s="11">
        <f>ProntoBaby!U9+ProntoBaby!AG9</f>
        <v>0</v>
      </c>
      <c r="AE9" s="11">
        <f>ProntoBaby!V9+ProntoBaby!AH9</f>
        <v>0</v>
      </c>
      <c r="AF9" s="11">
        <f>ProntoBaby!W9+ProntoBaby!AI9</f>
        <v>0</v>
      </c>
      <c r="AG9" s="11">
        <f>ProntoBaby!X9+ProntoBaby!AJ9</f>
        <v>0</v>
      </c>
      <c r="AH9" s="11">
        <f>ProntoBaby!Y9+ProntoBaby!AK9</f>
        <v>0</v>
      </c>
      <c r="AI9" s="11">
        <f>ProntoBaby!Z9+ProntoBaby!AL9</f>
        <v>0</v>
      </c>
      <c r="AJ9" s="11">
        <f>ProntoBaby!AA9+ProntoBaby!AM9</f>
        <v>0</v>
      </c>
      <c r="AK9" s="11">
        <f>ProntoBaby!AB9+ProntoBaby!AN9</f>
        <v>0</v>
      </c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4">
        <f t="shared" si="6"/>
        <v>0</v>
      </c>
      <c r="AY9" s="14">
        <f t="shared" si="7"/>
        <v>0</v>
      </c>
      <c r="AZ9" s="14">
        <f t="shared" si="8"/>
        <v>0</v>
      </c>
      <c r="BA9" s="14">
        <f t="shared" si="9"/>
        <v>0</v>
      </c>
      <c r="BB9" s="14">
        <f t="shared" si="10"/>
        <v>0</v>
      </c>
      <c r="BC9" s="14">
        <f t="shared" si="11"/>
        <v>0</v>
      </c>
      <c r="BD9" s="14">
        <f t="shared" si="12"/>
        <v>0</v>
      </c>
      <c r="BE9" s="14">
        <f t="shared" si="13"/>
        <v>0</v>
      </c>
      <c r="BF9" s="14">
        <f t="shared" si="14"/>
        <v>0</v>
      </c>
      <c r="BG9" s="14">
        <f t="shared" si="15"/>
        <v>0</v>
      </c>
      <c r="BH9" s="14">
        <f t="shared" si="16"/>
        <v>0</v>
      </c>
      <c r="BI9" s="14">
        <f t="shared" si="17"/>
        <v>0</v>
      </c>
      <c r="BJ9" s="14">
        <f t="shared" si="5"/>
        <v>0</v>
      </c>
    </row>
    <row r="10" spans="1:63" x14ac:dyDescent="0.25">
      <c r="A10" t="s">
        <v>25</v>
      </c>
      <c r="B10" s="11">
        <f>Neomater!AL10+Neomater!AX10</f>
        <v>0</v>
      </c>
      <c r="C10" s="11">
        <f>Neomater!AM10+Neomater!AY10</f>
        <v>0</v>
      </c>
      <c r="D10" s="11">
        <f>Neomater!AN10+Neomater!AZ10</f>
        <v>0</v>
      </c>
      <c r="E10" s="11">
        <f>Neomater!AO10+Neomater!BA10</f>
        <v>0</v>
      </c>
      <c r="F10" s="11">
        <f>Neomater!AP10+Neomater!BB10</f>
        <v>0</v>
      </c>
      <c r="G10" s="11">
        <f>Neomater!AQ10+Neomater!BC10</f>
        <v>0</v>
      </c>
      <c r="H10" s="11">
        <f>Neomater!AR10+Neomater!BD10</f>
        <v>0</v>
      </c>
      <c r="I10" s="11">
        <f>Neomater!AS10+Neomater!BE10</f>
        <v>0</v>
      </c>
      <c r="J10" s="11">
        <f>Neomater!AT10+Neomater!BF10</f>
        <v>0</v>
      </c>
      <c r="K10" s="11">
        <f>Neomater!AU10+Neomater!BG10</f>
        <v>0</v>
      </c>
      <c r="L10" s="11">
        <f>Neomater!AV10+Neomater!BH10</f>
        <v>0</v>
      </c>
      <c r="M10" s="11">
        <f>Neomater!AW10+Neomater!BI10</f>
        <v>0</v>
      </c>
      <c r="N10" s="11">
        <f>Neotin!AA10+Neotin!AM10</f>
        <v>0</v>
      </c>
      <c r="O10" s="11">
        <f>Neotin!AB10+Neotin!AN10</f>
        <v>0</v>
      </c>
      <c r="P10" s="11">
        <f>Neotin!AC10+Neotin!AO10</f>
        <v>0</v>
      </c>
      <c r="Q10" s="11">
        <f>Neotin!AD10+Neotin!AP10</f>
        <v>0</v>
      </c>
      <c r="R10" s="11">
        <f>Neotin!AE10+Neotin!AQ10</f>
        <v>0</v>
      </c>
      <c r="S10" s="11">
        <f>Neotin!AF10+Neotin!AR10</f>
        <v>0</v>
      </c>
      <c r="T10" s="11">
        <f>Neotin!AG10+Neotin!AS10</f>
        <v>0</v>
      </c>
      <c r="U10" s="11">
        <f>Neotin!AH10+Neotin!AT10</f>
        <v>0</v>
      </c>
      <c r="V10" s="11">
        <f>Neotin!AI10+Neotin!AU10</f>
        <v>0</v>
      </c>
      <c r="W10" s="11">
        <f>Neotin!AJ10+Neotin!AV10</f>
        <v>0</v>
      </c>
      <c r="X10" s="11">
        <f>Neotin!AK10+Neotin!AW10</f>
        <v>0</v>
      </c>
      <c r="Y10" s="11">
        <f>Neotin!AL10+Neotin!AX10</f>
        <v>0</v>
      </c>
      <c r="Z10" s="11">
        <f>ProntoBaby!Q10+ProntoBaby!AC10</f>
        <v>0</v>
      </c>
      <c r="AA10" s="11">
        <f>ProntoBaby!R10+ProntoBaby!AD10</f>
        <v>0</v>
      </c>
      <c r="AB10" s="11">
        <f>ProntoBaby!S10+ProntoBaby!AE10</f>
        <v>0</v>
      </c>
      <c r="AC10" s="11">
        <f>ProntoBaby!T10+ProntoBaby!AF10</f>
        <v>0</v>
      </c>
      <c r="AD10" s="11">
        <f>ProntoBaby!U10+ProntoBaby!AG10</f>
        <v>0</v>
      </c>
      <c r="AE10" s="11">
        <f>ProntoBaby!V10+ProntoBaby!AH10</f>
        <v>0</v>
      </c>
      <c r="AF10" s="11">
        <f>ProntoBaby!W10+ProntoBaby!AI10</f>
        <v>0</v>
      </c>
      <c r="AG10" s="11">
        <f>ProntoBaby!X10+ProntoBaby!AJ10</f>
        <v>0</v>
      </c>
      <c r="AH10" s="11">
        <f>ProntoBaby!Y10+ProntoBaby!AK10</f>
        <v>0</v>
      </c>
      <c r="AI10" s="11">
        <f>ProntoBaby!Z10+ProntoBaby!AL10</f>
        <v>0</v>
      </c>
      <c r="AJ10" s="11">
        <f>ProntoBaby!AA10+ProntoBaby!AM10</f>
        <v>0</v>
      </c>
      <c r="AK10" s="11">
        <f>ProntoBaby!AB10+ProntoBaby!AN10</f>
        <v>0</v>
      </c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4">
        <f t="shared" si="6"/>
        <v>0</v>
      </c>
      <c r="AY10" s="14">
        <f t="shared" si="7"/>
        <v>0</v>
      </c>
      <c r="AZ10" s="14">
        <f t="shared" si="8"/>
        <v>0</v>
      </c>
      <c r="BA10" s="14">
        <f t="shared" si="9"/>
        <v>0</v>
      </c>
      <c r="BB10" s="14">
        <f t="shared" si="10"/>
        <v>0</v>
      </c>
      <c r="BC10" s="14">
        <f t="shared" si="11"/>
        <v>0</v>
      </c>
      <c r="BD10" s="14">
        <f t="shared" si="12"/>
        <v>0</v>
      </c>
      <c r="BE10" s="14">
        <f t="shared" si="13"/>
        <v>0</v>
      </c>
      <c r="BF10" s="14">
        <f t="shared" si="14"/>
        <v>0</v>
      </c>
      <c r="BG10" s="14">
        <f t="shared" si="15"/>
        <v>0</v>
      </c>
      <c r="BH10" s="14">
        <f t="shared" si="16"/>
        <v>0</v>
      </c>
      <c r="BI10" s="14">
        <f t="shared" si="17"/>
        <v>0</v>
      </c>
      <c r="BJ10" s="14">
        <f t="shared" si="5"/>
        <v>0</v>
      </c>
    </row>
    <row r="11" spans="1:63" x14ac:dyDescent="0.25">
      <c r="A11" t="s">
        <v>26</v>
      </c>
      <c r="B11" s="11">
        <f>Neomater!AL11+Neomater!AX11</f>
        <v>0</v>
      </c>
      <c r="C11" s="11">
        <f>Neomater!AM11+Neomater!AY11</f>
        <v>0</v>
      </c>
      <c r="D11" s="11">
        <f>Neomater!AN11+Neomater!AZ11</f>
        <v>0</v>
      </c>
      <c r="E11" s="11">
        <f>Neomater!AO11+Neomater!BA11</f>
        <v>0</v>
      </c>
      <c r="F11" s="11">
        <f>Neomater!AP11+Neomater!BB11</f>
        <v>0</v>
      </c>
      <c r="G11" s="11">
        <f>Neomater!AQ11+Neomater!BC11</f>
        <v>0</v>
      </c>
      <c r="H11" s="11">
        <f>Neomater!AR11+Neomater!BD11</f>
        <v>0</v>
      </c>
      <c r="I11" s="11">
        <f>Neomater!AS11+Neomater!BE11</f>
        <v>0</v>
      </c>
      <c r="J11" s="11">
        <f>Neomater!AT11+Neomater!BF11</f>
        <v>0</v>
      </c>
      <c r="K11" s="11">
        <f>Neomater!AU11+Neomater!BG11</f>
        <v>0</v>
      </c>
      <c r="L11" s="11">
        <f>Neomater!AV11+Neomater!BH11</f>
        <v>0</v>
      </c>
      <c r="M11" s="11">
        <f>Neomater!AW11+Neomater!BI11</f>
        <v>0</v>
      </c>
      <c r="N11" s="11">
        <f>Neotin!AA11+Neotin!AM11</f>
        <v>0</v>
      </c>
      <c r="O11" s="11">
        <f>Neotin!AB11+Neotin!AN11</f>
        <v>0</v>
      </c>
      <c r="P11" s="11">
        <f>Neotin!AC11+Neotin!AO11</f>
        <v>0</v>
      </c>
      <c r="Q11" s="11">
        <f>Neotin!AD11+Neotin!AP11</f>
        <v>0</v>
      </c>
      <c r="R11" s="11">
        <f>Neotin!AE11+Neotin!AQ11</f>
        <v>0</v>
      </c>
      <c r="S11" s="11">
        <f>Neotin!AF11+Neotin!AR11</f>
        <v>0</v>
      </c>
      <c r="T11" s="11">
        <f>Neotin!AG11+Neotin!AS11</f>
        <v>0</v>
      </c>
      <c r="U11" s="11">
        <f>Neotin!AH11+Neotin!AT11</f>
        <v>0</v>
      </c>
      <c r="V11" s="11">
        <f>Neotin!AI11+Neotin!AU11</f>
        <v>0</v>
      </c>
      <c r="W11" s="11">
        <f>Neotin!AJ11+Neotin!AV11</f>
        <v>0</v>
      </c>
      <c r="X11" s="11">
        <f>Neotin!AK11+Neotin!AW11</f>
        <v>0</v>
      </c>
      <c r="Y11" s="11">
        <f>Neotin!AL11+Neotin!AX11</f>
        <v>0</v>
      </c>
      <c r="Z11" s="11">
        <f>ProntoBaby!Q11+ProntoBaby!AC11</f>
        <v>0</v>
      </c>
      <c r="AA11" s="11">
        <f>ProntoBaby!R11+ProntoBaby!AD11</f>
        <v>0</v>
      </c>
      <c r="AB11" s="11">
        <f>ProntoBaby!S11+ProntoBaby!AE11</f>
        <v>0</v>
      </c>
      <c r="AC11" s="11">
        <f>ProntoBaby!T11+ProntoBaby!AF11</f>
        <v>0</v>
      </c>
      <c r="AD11" s="11">
        <f>ProntoBaby!U11+ProntoBaby!AG11</f>
        <v>0</v>
      </c>
      <c r="AE11" s="11">
        <f>ProntoBaby!V11+ProntoBaby!AH11</f>
        <v>0</v>
      </c>
      <c r="AF11" s="11">
        <f>ProntoBaby!W11+ProntoBaby!AI11</f>
        <v>0</v>
      </c>
      <c r="AG11" s="11">
        <f>ProntoBaby!X11+ProntoBaby!AJ11</f>
        <v>0</v>
      </c>
      <c r="AH11" s="11">
        <f>ProntoBaby!Y11+ProntoBaby!AK11</f>
        <v>0</v>
      </c>
      <c r="AI11" s="11">
        <f>ProntoBaby!Z11+ProntoBaby!AL11</f>
        <v>0</v>
      </c>
      <c r="AJ11" s="11">
        <f>ProntoBaby!AA11+ProntoBaby!AM11</f>
        <v>0</v>
      </c>
      <c r="AK11" s="11">
        <f>ProntoBaby!AB11+ProntoBaby!AN11</f>
        <v>0</v>
      </c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4">
        <f t="shared" si="6"/>
        <v>0</v>
      </c>
      <c r="AY11" s="14">
        <f t="shared" si="7"/>
        <v>0</v>
      </c>
      <c r="AZ11" s="14">
        <f t="shared" si="8"/>
        <v>0</v>
      </c>
      <c r="BA11" s="14">
        <f t="shared" si="9"/>
        <v>0</v>
      </c>
      <c r="BB11" s="14">
        <f t="shared" si="10"/>
        <v>0</v>
      </c>
      <c r="BC11" s="14">
        <f t="shared" si="11"/>
        <v>0</v>
      </c>
      <c r="BD11" s="14">
        <f t="shared" si="12"/>
        <v>0</v>
      </c>
      <c r="BE11" s="14">
        <f t="shared" si="13"/>
        <v>0</v>
      </c>
      <c r="BF11" s="14">
        <f t="shared" si="14"/>
        <v>0</v>
      </c>
      <c r="BG11" s="14">
        <f t="shared" si="15"/>
        <v>0</v>
      </c>
      <c r="BH11" s="14">
        <f t="shared" si="16"/>
        <v>0</v>
      </c>
      <c r="BI11" s="14">
        <f t="shared" si="17"/>
        <v>0</v>
      </c>
      <c r="BJ11" s="14">
        <f t="shared" si="5"/>
        <v>0</v>
      </c>
    </row>
    <row r="12" spans="1:63" x14ac:dyDescent="0.25">
      <c r="A12" t="s">
        <v>27</v>
      </c>
      <c r="B12" s="11">
        <f>Neomater!AL12+Neomater!AX12</f>
        <v>0</v>
      </c>
      <c r="C12" s="11">
        <f>Neomater!AM12+Neomater!AY12</f>
        <v>0</v>
      </c>
      <c r="D12" s="11">
        <f>Neomater!AN12+Neomater!AZ12</f>
        <v>0</v>
      </c>
      <c r="E12" s="11">
        <f>Neomater!AO12+Neomater!BA12</f>
        <v>0</v>
      </c>
      <c r="F12" s="11">
        <f>Neomater!AP12+Neomater!BB12</f>
        <v>0</v>
      </c>
      <c r="G12" s="11">
        <f>Neomater!AQ12+Neomater!BC12</f>
        <v>0</v>
      </c>
      <c r="H12" s="11">
        <f>Neomater!AR12+Neomater!BD12</f>
        <v>0</v>
      </c>
      <c r="I12" s="11">
        <f>Neomater!AS12+Neomater!BE12</f>
        <v>0</v>
      </c>
      <c r="J12" s="11">
        <f>Neomater!AT12+Neomater!BF12</f>
        <v>0</v>
      </c>
      <c r="K12" s="11">
        <f>Neomater!AU12+Neomater!BG12</f>
        <v>0</v>
      </c>
      <c r="L12" s="11">
        <f>Neomater!AV12+Neomater!BH12</f>
        <v>0</v>
      </c>
      <c r="M12" s="11">
        <f>Neomater!AW12+Neomater!BI12</f>
        <v>0</v>
      </c>
      <c r="N12" s="11">
        <f>Neotin!AA12+Neotin!AM12</f>
        <v>0</v>
      </c>
      <c r="O12" s="11">
        <f>Neotin!AB12+Neotin!AN12</f>
        <v>0</v>
      </c>
      <c r="P12" s="11">
        <f>Neotin!AC12+Neotin!AO12</f>
        <v>0</v>
      </c>
      <c r="Q12" s="11">
        <f>Neotin!AD12+Neotin!AP12</f>
        <v>0</v>
      </c>
      <c r="R12" s="11">
        <f>Neotin!AE12+Neotin!AQ12</f>
        <v>0</v>
      </c>
      <c r="S12" s="11">
        <f>Neotin!AF12+Neotin!AR12</f>
        <v>0</v>
      </c>
      <c r="T12" s="11">
        <f>Neotin!AG12+Neotin!AS12</f>
        <v>0</v>
      </c>
      <c r="U12" s="11">
        <f>Neotin!AH12+Neotin!AT12</f>
        <v>0</v>
      </c>
      <c r="V12" s="11">
        <f>Neotin!AI12+Neotin!AU12</f>
        <v>0</v>
      </c>
      <c r="W12" s="11">
        <f>Neotin!AJ12+Neotin!AV12</f>
        <v>0</v>
      </c>
      <c r="X12" s="11">
        <f>Neotin!AK12+Neotin!AW12</f>
        <v>0</v>
      </c>
      <c r="Y12" s="11">
        <f>Neotin!AL12+Neotin!AX12</f>
        <v>0</v>
      </c>
      <c r="Z12" s="11">
        <f>ProntoBaby!Q12+ProntoBaby!AC12</f>
        <v>0</v>
      </c>
      <c r="AA12" s="11">
        <f>ProntoBaby!R12+ProntoBaby!AD12</f>
        <v>0</v>
      </c>
      <c r="AB12" s="11">
        <f>ProntoBaby!S12+ProntoBaby!AE12</f>
        <v>0</v>
      </c>
      <c r="AC12" s="11">
        <f>ProntoBaby!T12+ProntoBaby!AF12</f>
        <v>0</v>
      </c>
      <c r="AD12" s="11">
        <f>ProntoBaby!U12+ProntoBaby!AG12</f>
        <v>0</v>
      </c>
      <c r="AE12" s="11">
        <f>ProntoBaby!V12+ProntoBaby!AH12</f>
        <v>0</v>
      </c>
      <c r="AF12" s="11">
        <f>ProntoBaby!W12+ProntoBaby!AI12</f>
        <v>0</v>
      </c>
      <c r="AG12" s="11">
        <f>ProntoBaby!X12+ProntoBaby!AJ12</f>
        <v>0</v>
      </c>
      <c r="AH12" s="11">
        <f>ProntoBaby!Y12+ProntoBaby!AK12</f>
        <v>0</v>
      </c>
      <c r="AI12" s="11">
        <f>ProntoBaby!Z12+ProntoBaby!AL12</f>
        <v>0</v>
      </c>
      <c r="AJ12" s="11">
        <f>ProntoBaby!AA12+ProntoBaby!AM12</f>
        <v>0</v>
      </c>
      <c r="AK12" s="11">
        <f>ProntoBaby!AB12+ProntoBaby!AN12</f>
        <v>0</v>
      </c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4">
        <f t="shared" si="6"/>
        <v>0</v>
      </c>
      <c r="AY12" s="14">
        <f t="shared" si="7"/>
        <v>0</v>
      </c>
      <c r="AZ12" s="14">
        <f t="shared" si="8"/>
        <v>0</v>
      </c>
      <c r="BA12" s="14">
        <f t="shared" si="9"/>
        <v>0</v>
      </c>
      <c r="BB12" s="14">
        <f t="shared" si="10"/>
        <v>0</v>
      </c>
      <c r="BC12" s="14">
        <f t="shared" si="11"/>
        <v>0</v>
      </c>
      <c r="BD12" s="14">
        <f t="shared" si="12"/>
        <v>0</v>
      </c>
      <c r="BE12" s="14">
        <f t="shared" si="13"/>
        <v>0</v>
      </c>
      <c r="BF12" s="14">
        <f t="shared" si="14"/>
        <v>0</v>
      </c>
      <c r="BG12" s="14">
        <f t="shared" si="15"/>
        <v>0</v>
      </c>
      <c r="BH12" s="14">
        <f t="shared" si="16"/>
        <v>0</v>
      </c>
      <c r="BI12" s="14">
        <f t="shared" si="17"/>
        <v>0</v>
      </c>
      <c r="BJ12" s="14">
        <f t="shared" si="5"/>
        <v>0</v>
      </c>
    </row>
    <row r="13" spans="1:63" x14ac:dyDescent="0.25">
      <c r="A13" t="s">
        <v>31</v>
      </c>
      <c r="B13" s="11">
        <f>Neomater!AL13+Neomater!AX13</f>
        <v>0</v>
      </c>
      <c r="C13" s="11">
        <f>Neomater!AM13+Neomater!AY13</f>
        <v>0</v>
      </c>
      <c r="D13" s="11">
        <f>Neomater!AN13+Neomater!AZ13</f>
        <v>0</v>
      </c>
      <c r="E13" s="11">
        <f>Neomater!AO13+Neomater!BA13</f>
        <v>0</v>
      </c>
      <c r="F13" s="11">
        <f>Neomater!AP13+Neomater!BB13</f>
        <v>0</v>
      </c>
      <c r="G13" s="11">
        <f>Neomater!AQ13+Neomater!BC13</f>
        <v>0</v>
      </c>
      <c r="H13" s="11">
        <f>Neomater!AR13+Neomater!BD13</f>
        <v>0</v>
      </c>
      <c r="I13" s="11">
        <f>Neomater!AS13+Neomater!BE13</f>
        <v>0</v>
      </c>
      <c r="J13" s="11">
        <f>Neomater!AT13+Neomater!BF13</f>
        <v>0</v>
      </c>
      <c r="K13" s="11">
        <f>Neomater!AU13+Neomater!BG13</f>
        <v>0</v>
      </c>
      <c r="L13" s="11">
        <f>Neomater!AV13+Neomater!BH13</f>
        <v>0</v>
      </c>
      <c r="M13" s="11">
        <f>Neomater!AW13+Neomater!BI13</f>
        <v>0</v>
      </c>
      <c r="N13" s="11">
        <f>Neotin!AA13+Neotin!AM13</f>
        <v>0</v>
      </c>
      <c r="O13" s="11">
        <f>Neotin!AB13+Neotin!AN13</f>
        <v>0</v>
      </c>
      <c r="P13" s="11">
        <f>Neotin!AC13+Neotin!AO13</f>
        <v>0</v>
      </c>
      <c r="Q13" s="11">
        <f>Neotin!AD13+Neotin!AP13</f>
        <v>0</v>
      </c>
      <c r="R13" s="11">
        <f>Neotin!AE13+Neotin!AQ13</f>
        <v>0</v>
      </c>
      <c r="S13" s="11">
        <f>Neotin!AF13+Neotin!AR13</f>
        <v>0</v>
      </c>
      <c r="T13" s="11">
        <f>Neotin!AG13+Neotin!AS13</f>
        <v>0</v>
      </c>
      <c r="U13" s="11">
        <f>Neotin!AH13+Neotin!AT13</f>
        <v>0</v>
      </c>
      <c r="V13" s="11">
        <f>Neotin!AI13+Neotin!AU13</f>
        <v>0</v>
      </c>
      <c r="W13" s="11">
        <f>Neotin!AJ13+Neotin!AV13</f>
        <v>0</v>
      </c>
      <c r="X13" s="11">
        <f>Neotin!AK13+Neotin!AW13</f>
        <v>0</v>
      </c>
      <c r="Y13" s="11">
        <f>Neotin!AL13+Neotin!AX13</f>
        <v>0</v>
      </c>
      <c r="Z13" s="11">
        <f>ProntoBaby!Q13+ProntoBaby!AC13</f>
        <v>0</v>
      </c>
      <c r="AA13" s="11">
        <f>ProntoBaby!R13+ProntoBaby!AD13</f>
        <v>0</v>
      </c>
      <c r="AB13" s="11">
        <f>ProntoBaby!S13+ProntoBaby!AE13</f>
        <v>0</v>
      </c>
      <c r="AC13" s="11">
        <f>ProntoBaby!T13+ProntoBaby!AF13</f>
        <v>0</v>
      </c>
      <c r="AD13" s="11">
        <f>ProntoBaby!U13+ProntoBaby!AG13</f>
        <v>0</v>
      </c>
      <c r="AE13" s="11">
        <f>ProntoBaby!V13+ProntoBaby!AH13</f>
        <v>0</v>
      </c>
      <c r="AF13" s="11">
        <f>ProntoBaby!W13+ProntoBaby!AI13</f>
        <v>0</v>
      </c>
      <c r="AG13" s="11">
        <f>ProntoBaby!X13+ProntoBaby!AJ13</f>
        <v>0</v>
      </c>
      <c r="AH13" s="11">
        <f>ProntoBaby!Y13+ProntoBaby!AK13</f>
        <v>0</v>
      </c>
      <c r="AI13" s="11">
        <f>ProntoBaby!Z13+ProntoBaby!AL13</f>
        <v>0</v>
      </c>
      <c r="AJ13" s="11">
        <f>ProntoBaby!AA13+ProntoBaby!AM13</f>
        <v>0</v>
      </c>
      <c r="AK13" s="11">
        <f>ProntoBaby!AB13+ProntoBaby!AN13</f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4">
        <f t="shared" si="6"/>
        <v>0</v>
      </c>
      <c r="AY13" s="14">
        <f t="shared" si="7"/>
        <v>0</v>
      </c>
      <c r="AZ13" s="14">
        <f t="shared" si="8"/>
        <v>0</v>
      </c>
      <c r="BA13" s="14">
        <f t="shared" si="9"/>
        <v>0</v>
      </c>
      <c r="BB13" s="14">
        <f t="shared" si="10"/>
        <v>0</v>
      </c>
      <c r="BC13" s="14">
        <f t="shared" si="11"/>
        <v>0</v>
      </c>
      <c r="BD13" s="14">
        <f t="shared" si="12"/>
        <v>0</v>
      </c>
      <c r="BE13" s="14">
        <f t="shared" si="13"/>
        <v>0</v>
      </c>
      <c r="BF13" s="14">
        <f t="shared" si="14"/>
        <v>0</v>
      </c>
      <c r="BG13" s="14">
        <f t="shared" si="15"/>
        <v>0</v>
      </c>
      <c r="BH13" s="14">
        <f t="shared" si="16"/>
        <v>0</v>
      </c>
      <c r="BI13" s="14">
        <f t="shared" si="17"/>
        <v>0</v>
      </c>
      <c r="BJ13" s="14">
        <f t="shared" si="5"/>
        <v>0</v>
      </c>
    </row>
    <row r="14" spans="1:63" x14ac:dyDescent="0.25">
      <c r="A14" t="s">
        <v>32</v>
      </c>
      <c r="B14" s="11">
        <f>Neomater!AL14+Neomater!AX14</f>
        <v>0</v>
      </c>
      <c r="C14" s="11">
        <f>Neomater!AM14+Neomater!AY14</f>
        <v>0</v>
      </c>
      <c r="D14" s="11">
        <f>Neomater!AN14+Neomater!AZ14</f>
        <v>0</v>
      </c>
      <c r="E14" s="11">
        <f>Neomater!AO14+Neomater!BA14</f>
        <v>0</v>
      </c>
      <c r="F14" s="11">
        <f>Neomater!AP14+Neomater!BB14</f>
        <v>0</v>
      </c>
      <c r="G14" s="11">
        <f>Neomater!AQ14+Neomater!BC14</f>
        <v>0</v>
      </c>
      <c r="H14" s="11">
        <f>Neomater!AR14+Neomater!BD14</f>
        <v>0</v>
      </c>
      <c r="I14" s="11">
        <f>Neomater!AS14+Neomater!BE14</f>
        <v>0</v>
      </c>
      <c r="J14" s="11">
        <f>Neomater!AT14+Neomater!BF14</f>
        <v>0</v>
      </c>
      <c r="K14" s="11">
        <f>Neomater!AU14+Neomater!BG14</f>
        <v>0</v>
      </c>
      <c r="L14" s="11">
        <f>Neomater!AV14+Neomater!BH14</f>
        <v>0</v>
      </c>
      <c r="M14" s="11">
        <f>Neomater!AW14+Neomater!BI14</f>
        <v>0</v>
      </c>
      <c r="N14" s="11">
        <f>Neotin!AA14+Neotin!AM14</f>
        <v>0</v>
      </c>
      <c r="O14" s="11">
        <f>Neotin!AB14+Neotin!AN14</f>
        <v>0</v>
      </c>
      <c r="P14" s="11">
        <f>Neotin!AC14+Neotin!AO14</f>
        <v>0</v>
      </c>
      <c r="Q14" s="11">
        <f>Neotin!AD14+Neotin!AP14</f>
        <v>0</v>
      </c>
      <c r="R14" s="11">
        <f>Neotin!AE14+Neotin!AQ14</f>
        <v>0</v>
      </c>
      <c r="S14" s="11">
        <f>Neotin!AF14+Neotin!AR14</f>
        <v>0</v>
      </c>
      <c r="T14" s="11">
        <f>Neotin!AG14+Neotin!AS14</f>
        <v>0</v>
      </c>
      <c r="U14" s="11">
        <f>Neotin!AH14+Neotin!AT14</f>
        <v>0</v>
      </c>
      <c r="V14" s="11">
        <f>Neotin!AI14+Neotin!AU14</f>
        <v>0</v>
      </c>
      <c r="W14" s="11">
        <f>Neotin!AJ14+Neotin!AV14</f>
        <v>0</v>
      </c>
      <c r="X14" s="11">
        <f>Neotin!AK14+Neotin!AW14</f>
        <v>0</v>
      </c>
      <c r="Y14" s="11">
        <f>Neotin!AL14+Neotin!AX14</f>
        <v>0</v>
      </c>
      <c r="Z14" s="11">
        <f>ProntoBaby!Q14+ProntoBaby!AC14</f>
        <v>0</v>
      </c>
      <c r="AA14" s="11">
        <f>ProntoBaby!R14+ProntoBaby!AD14</f>
        <v>0</v>
      </c>
      <c r="AB14" s="11">
        <f>ProntoBaby!S14+ProntoBaby!AE14</f>
        <v>0</v>
      </c>
      <c r="AC14" s="11">
        <f>ProntoBaby!T14+ProntoBaby!AF14</f>
        <v>0</v>
      </c>
      <c r="AD14" s="11">
        <f>ProntoBaby!U14+ProntoBaby!AG14</f>
        <v>0</v>
      </c>
      <c r="AE14" s="11">
        <f>ProntoBaby!V14+ProntoBaby!AH14</f>
        <v>0</v>
      </c>
      <c r="AF14" s="11">
        <f>ProntoBaby!W14+ProntoBaby!AI14</f>
        <v>0</v>
      </c>
      <c r="AG14" s="11">
        <f>ProntoBaby!X14+ProntoBaby!AJ14</f>
        <v>0</v>
      </c>
      <c r="AH14" s="11">
        <f>ProntoBaby!Y14+ProntoBaby!AK14</f>
        <v>0</v>
      </c>
      <c r="AI14" s="11">
        <f>ProntoBaby!Z14+ProntoBaby!AL14</f>
        <v>0</v>
      </c>
      <c r="AJ14" s="11">
        <f>ProntoBaby!AA14+ProntoBaby!AM14</f>
        <v>0</v>
      </c>
      <c r="AK14" s="11">
        <f>ProntoBaby!AB14+ProntoBaby!AN14</f>
        <v>0</v>
      </c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4">
        <f t="shared" si="6"/>
        <v>0</v>
      </c>
      <c r="AY14" s="14">
        <f t="shared" si="7"/>
        <v>0</v>
      </c>
      <c r="AZ14" s="14">
        <f t="shared" si="8"/>
        <v>0</v>
      </c>
      <c r="BA14" s="14">
        <f t="shared" si="9"/>
        <v>0</v>
      </c>
      <c r="BB14" s="14">
        <f t="shared" si="10"/>
        <v>0</v>
      </c>
      <c r="BC14" s="14">
        <f t="shared" si="11"/>
        <v>0</v>
      </c>
      <c r="BD14" s="14">
        <f t="shared" si="12"/>
        <v>0</v>
      </c>
      <c r="BE14" s="14">
        <f t="shared" si="13"/>
        <v>0</v>
      </c>
      <c r="BF14" s="14">
        <f t="shared" si="14"/>
        <v>0</v>
      </c>
      <c r="BG14" s="14">
        <f t="shared" si="15"/>
        <v>0</v>
      </c>
      <c r="BH14" s="14">
        <f t="shared" si="16"/>
        <v>0</v>
      </c>
      <c r="BI14" s="14">
        <f t="shared" si="17"/>
        <v>0</v>
      </c>
      <c r="BJ14" s="14">
        <f t="shared" si="5"/>
        <v>0</v>
      </c>
    </row>
    <row r="15" spans="1:63" x14ac:dyDescent="0.25">
      <c r="A15" t="s">
        <v>28</v>
      </c>
      <c r="B15" s="11">
        <f>Neomater!AL15+Neomater!AX15</f>
        <v>0</v>
      </c>
      <c r="C15" s="11">
        <f>Neomater!AM15+Neomater!AY15</f>
        <v>0</v>
      </c>
      <c r="D15" s="11">
        <f>Neomater!AN15+Neomater!AZ15</f>
        <v>0</v>
      </c>
      <c r="E15" s="11">
        <f>Neomater!AO15+Neomater!BA15</f>
        <v>0</v>
      </c>
      <c r="F15" s="11">
        <f>Neomater!AP15+Neomater!BB15</f>
        <v>0</v>
      </c>
      <c r="G15" s="11">
        <f>Neomater!AQ15+Neomater!BC15</f>
        <v>0</v>
      </c>
      <c r="H15" s="11">
        <f>Neomater!AR15+Neomater!BD15</f>
        <v>0</v>
      </c>
      <c r="I15" s="11">
        <f>Neomater!AS15+Neomater!BE15</f>
        <v>0</v>
      </c>
      <c r="J15" s="11">
        <f>Neomater!AT15+Neomater!BF15</f>
        <v>0</v>
      </c>
      <c r="K15" s="11">
        <f>Neomater!AU15+Neomater!BG15</f>
        <v>0</v>
      </c>
      <c r="L15" s="11">
        <f>Neomater!AV15+Neomater!BH15</f>
        <v>0</v>
      </c>
      <c r="M15" s="11">
        <f>Neomater!AW15+Neomater!BI15</f>
        <v>0</v>
      </c>
      <c r="N15" s="11">
        <f>Neotin!AA15+Neotin!AM15</f>
        <v>0</v>
      </c>
      <c r="O15" s="11">
        <f>Neotin!AB15+Neotin!AN15</f>
        <v>0</v>
      </c>
      <c r="P15" s="11">
        <f>Neotin!AC15+Neotin!AO15</f>
        <v>0</v>
      </c>
      <c r="Q15" s="11">
        <f>Neotin!AD15+Neotin!AP15</f>
        <v>0</v>
      </c>
      <c r="R15" s="11">
        <f>Neotin!AE15+Neotin!AQ15</f>
        <v>0</v>
      </c>
      <c r="S15" s="11">
        <f>Neotin!AF15+Neotin!AR15</f>
        <v>0</v>
      </c>
      <c r="T15" s="11">
        <f>Neotin!AG15+Neotin!AS15</f>
        <v>0</v>
      </c>
      <c r="U15" s="11">
        <f>Neotin!AH15+Neotin!AT15</f>
        <v>0</v>
      </c>
      <c r="V15" s="11">
        <f>Neotin!AI15+Neotin!AU15</f>
        <v>0</v>
      </c>
      <c r="W15" s="11">
        <f>Neotin!AJ15+Neotin!AV15</f>
        <v>0</v>
      </c>
      <c r="X15" s="11">
        <f>Neotin!AK15+Neotin!AW15</f>
        <v>0</v>
      </c>
      <c r="Y15" s="11">
        <f>Neotin!AL15+Neotin!AX15</f>
        <v>0</v>
      </c>
      <c r="Z15" s="11">
        <f>ProntoBaby!Q15+ProntoBaby!AC15</f>
        <v>0</v>
      </c>
      <c r="AA15" s="11">
        <f>ProntoBaby!R15+ProntoBaby!AD15</f>
        <v>0</v>
      </c>
      <c r="AB15" s="11">
        <f>ProntoBaby!S15+ProntoBaby!AE15</f>
        <v>0</v>
      </c>
      <c r="AC15" s="11">
        <f>ProntoBaby!T15+ProntoBaby!AF15</f>
        <v>0</v>
      </c>
      <c r="AD15" s="11">
        <f>ProntoBaby!U15+ProntoBaby!AG15</f>
        <v>0</v>
      </c>
      <c r="AE15" s="11">
        <f>ProntoBaby!V15+ProntoBaby!AH15</f>
        <v>0</v>
      </c>
      <c r="AF15" s="11">
        <f>ProntoBaby!W15+ProntoBaby!AI15</f>
        <v>0</v>
      </c>
      <c r="AG15" s="11">
        <f>ProntoBaby!X15+ProntoBaby!AJ15</f>
        <v>0</v>
      </c>
      <c r="AH15" s="11">
        <f>ProntoBaby!Y15+ProntoBaby!AK15</f>
        <v>0</v>
      </c>
      <c r="AI15" s="11">
        <f>ProntoBaby!Z15+ProntoBaby!AL15</f>
        <v>0</v>
      </c>
      <c r="AJ15" s="11">
        <f>ProntoBaby!AA15+ProntoBaby!AM15</f>
        <v>0</v>
      </c>
      <c r="AK15" s="11">
        <f>ProntoBaby!AB15+ProntoBaby!AN15</f>
        <v>0</v>
      </c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4">
        <f t="shared" si="6"/>
        <v>0</v>
      </c>
      <c r="AY15" s="14">
        <f t="shared" si="7"/>
        <v>0</v>
      </c>
      <c r="AZ15" s="14">
        <f t="shared" si="8"/>
        <v>0</v>
      </c>
      <c r="BA15" s="14">
        <f t="shared" si="9"/>
        <v>0</v>
      </c>
      <c r="BB15" s="14">
        <f t="shared" si="10"/>
        <v>0</v>
      </c>
      <c r="BC15" s="14">
        <f t="shared" si="11"/>
        <v>0</v>
      </c>
      <c r="BD15" s="14">
        <f t="shared" si="12"/>
        <v>0</v>
      </c>
      <c r="BE15" s="14">
        <f t="shared" si="13"/>
        <v>0</v>
      </c>
      <c r="BF15" s="14">
        <f t="shared" si="14"/>
        <v>0</v>
      </c>
      <c r="BG15" s="14">
        <f t="shared" si="15"/>
        <v>0</v>
      </c>
      <c r="BH15" s="14">
        <f t="shared" si="16"/>
        <v>0</v>
      </c>
      <c r="BI15" s="14">
        <f t="shared" si="17"/>
        <v>0</v>
      </c>
      <c r="BJ15" s="14">
        <f t="shared" si="5"/>
        <v>0</v>
      </c>
    </row>
    <row r="16" spans="1:63" x14ac:dyDescent="0.25">
      <c r="A16" t="s">
        <v>29</v>
      </c>
      <c r="B16" s="11">
        <f>Neomater!AL16+Neomater!AX16</f>
        <v>0</v>
      </c>
      <c r="C16" s="11">
        <f>Neomater!AM16+Neomater!AY16</f>
        <v>0</v>
      </c>
      <c r="D16" s="11">
        <f>Neomater!AN16+Neomater!AZ16</f>
        <v>0</v>
      </c>
      <c r="E16" s="11">
        <f>Neomater!AO16+Neomater!BA16</f>
        <v>0</v>
      </c>
      <c r="F16" s="11">
        <f>Neomater!AP16+Neomater!BB16</f>
        <v>0</v>
      </c>
      <c r="G16" s="11">
        <f>Neomater!AQ16+Neomater!BC16</f>
        <v>0</v>
      </c>
      <c r="H16" s="11">
        <f>Neomater!AR16+Neomater!BD16</f>
        <v>0</v>
      </c>
      <c r="I16" s="11">
        <f>Neomater!AS16+Neomater!BE16</f>
        <v>0</v>
      </c>
      <c r="J16" s="11">
        <f>Neomater!AT16+Neomater!BF16</f>
        <v>0</v>
      </c>
      <c r="K16" s="11">
        <f>Neomater!AU16+Neomater!BG16</f>
        <v>0</v>
      </c>
      <c r="L16" s="11">
        <f>Neomater!AV16+Neomater!BH16</f>
        <v>0</v>
      </c>
      <c r="M16" s="11">
        <f>Neomater!AW16+Neomater!BI16</f>
        <v>0</v>
      </c>
      <c r="N16" s="11">
        <f>Neotin!AA16+Neotin!AM16</f>
        <v>0</v>
      </c>
      <c r="O16" s="11">
        <f>Neotin!AB16+Neotin!AN16</f>
        <v>0</v>
      </c>
      <c r="P16" s="11">
        <f>Neotin!AC16+Neotin!AO16</f>
        <v>0</v>
      </c>
      <c r="Q16" s="11">
        <f>Neotin!AD16+Neotin!AP16</f>
        <v>0</v>
      </c>
      <c r="R16" s="11">
        <f>Neotin!AE16+Neotin!AQ16</f>
        <v>0</v>
      </c>
      <c r="S16" s="11">
        <f>Neotin!AF16+Neotin!AR16</f>
        <v>0</v>
      </c>
      <c r="T16" s="11">
        <f>Neotin!AG16+Neotin!AS16</f>
        <v>0</v>
      </c>
      <c r="U16" s="11">
        <f>Neotin!AH16+Neotin!AT16</f>
        <v>0</v>
      </c>
      <c r="V16" s="11">
        <f>Neotin!AI16+Neotin!AU16</f>
        <v>0</v>
      </c>
      <c r="W16" s="11">
        <f>Neotin!AJ16+Neotin!AV16</f>
        <v>0</v>
      </c>
      <c r="X16" s="11">
        <f>Neotin!AK16+Neotin!AW16</f>
        <v>0</v>
      </c>
      <c r="Y16" s="11">
        <f>Neotin!AL16+Neotin!AX16</f>
        <v>0</v>
      </c>
      <c r="Z16" s="11">
        <f>ProntoBaby!Q16+ProntoBaby!AC16</f>
        <v>0</v>
      </c>
      <c r="AA16" s="11">
        <f>ProntoBaby!R16+ProntoBaby!AD16</f>
        <v>0</v>
      </c>
      <c r="AB16" s="11">
        <f>ProntoBaby!S16+ProntoBaby!AE16</f>
        <v>0</v>
      </c>
      <c r="AC16" s="11">
        <f>ProntoBaby!T16+ProntoBaby!AF16</f>
        <v>0</v>
      </c>
      <c r="AD16" s="11">
        <f>ProntoBaby!U16+ProntoBaby!AG16</f>
        <v>0</v>
      </c>
      <c r="AE16" s="11">
        <f>ProntoBaby!V16+ProntoBaby!AH16</f>
        <v>0</v>
      </c>
      <c r="AF16" s="11">
        <f>ProntoBaby!W16+ProntoBaby!AI16</f>
        <v>0</v>
      </c>
      <c r="AG16" s="11">
        <f>ProntoBaby!X16+ProntoBaby!AJ16</f>
        <v>0</v>
      </c>
      <c r="AH16" s="11">
        <f>ProntoBaby!Y16+ProntoBaby!AK16</f>
        <v>0</v>
      </c>
      <c r="AI16" s="11">
        <f>ProntoBaby!Z16+ProntoBaby!AL16</f>
        <v>0</v>
      </c>
      <c r="AJ16" s="11">
        <f>ProntoBaby!AA16+ProntoBaby!AM16</f>
        <v>0</v>
      </c>
      <c r="AK16" s="11">
        <f>ProntoBaby!AB16+ProntoBaby!AN16</f>
        <v>0</v>
      </c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4">
        <f t="shared" si="6"/>
        <v>0</v>
      </c>
      <c r="AY16" s="14">
        <f t="shared" si="7"/>
        <v>0</v>
      </c>
      <c r="AZ16" s="14">
        <f t="shared" si="8"/>
        <v>0</v>
      </c>
      <c r="BA16" s="14">
        <f t="shared" si="9"/>
        <v>0</v>
      </c>
      <c r="BB16" s="14">
        <f t="shared" si="10"/>
        <v>0</v>
      </c>
      <c r="BC16" s="14">
        <f t="shared" si="11"/>
        <v>0</v>
      </c>
      <c r="BD16" s="14">
        <f t="shared" si="12"/>
        <v>0</v>
      </c>
      <c r="BE16" s="14">
        <f t="shared" si="13"/>
        <v>0</v>
      </c>
      <c r="BF16" s="14">
        <f t="shared" si="14"/>
        <v>0</v>
      </c>
      <c r="BG16" s="14">
        <f t="shared" si="15"/>
        <v>0</v>
      </c>
      <c r="BH16" s="14">
        <f t="shared" si="16"/>
        <v>0</v>
      </c>
      <c r="BI16" s="14">
        <f t="shared" si="17"/>
        <v>0</v>
      </c>
      <c r="BJ16" s="14">
        <f t="shared" si="5"/>
        <v>0</v>
      </c>
    </row>
    <row r="17" spans="1:62" x14ac:dyDescent="0.25">
      <c r="A17" t="s">
        <v>33</v>
      </c>
      <c r="B17" s="11">
        <f>Neomater!AL17+Neomater!AX17</f>
        <v>0</v>
      </c>
      <c r="C17" s="11">
        <f>Neomater!AM17+Neomater!AY17</f>
        <v>0</v>
      </c>
      <c r="D17" s="11">
        <f>Neomater!AN17+Neomater!AZ17</f>
        <v>0</v>
      </c>
      <c r="E17" s="11">
        <f>Neomater!AO17+Neomater!BA17</f>
        <v>0</v>
      </c>
      <c r="F17" s="11">
        <f>Neomater!AP17+Neomater!BB17</f>
        <v>0</v>
      </c>
      <c r="G17" s="11">
        <f>Neomater!AQ17+Neomater!BC17</f>
        <v>0</v>
      </c>
      <c r="H17" s="11">
        <f>Neomater!AR17+Neomater!BD17</f>
        <v>0</v>
      </c>
      <c r="I17" s="11">
        <f>Neomater!AS17+Neomater!BE17</f>
        <v>0</v>
      </c>
      <c r="J17" s="11">
        <f>Neomater!AT17+Neomater!BF17</f>
        <v>0</v>
      </c>
      <c r="K17" s="11">
        <f>Neomater!AU17+Neomater!BG17</f>
        <v>0</v>
      </c>
      <c r="L17" s="11">
        <f>Neomater!AV17+Neomater!BH17</f>
        <v>0</v>
      </c>
      <c r="M17" s="11">
        <f>Neomater!AW17+Neomater!BI17</f>
        <v>0</v>
      </c>
      <c r="N17" s="11">
        <f>Neotin!AA17+Neotin!AM17</f>
        <v>0</v>
      </c>
      <c r="O17" s="11">
        <f>Neotin!AB17+Neotin!AN17</f>
        <v>0</v>
      </c>
      <c r="P17" s="11">
        <f>Neotin!AC17+Neotin!AO17</f>
        <v>0</v>
      </c>
      <c r="Q17" s="11">
        <f>Neotin!AD17+Neotin!AP17</f>
        <v>0</v>
      </c>
      <c r="R17" s="11">
        <f>Neotin!AE17+Neotin!AQ17</f>
        <v>0</v>
      </c>
      <c r="S17" s="11">
        <f>Neotin!AF17+Neotin!AR17</f>
        <v>0</v>
      </c>
      <c r="T17" s="11">
        <f>Neotin!AG17+Neotin!AS17</f>
        <v>0</v>
      </c>
      <c r="U17" s="11">
        <f>Neotin!AH17+Neotin!AT17</f>
        <v>0</v>
      </c>
      <c r="V17" s="11">
        <f>Neotin!AI17+Neotin!AU17</f>
        <v>0</v>
      </c>
      <c r="W17" s="11">
        <f>Neotin!AJ17+Neotin!AV17</f>
        <v>0</v>
      </c>
      <c r="X17" s="11">
        <f>Neotin!AK17+Neotin!AW17</f>
        <v>0</v>
      </c>
      <c r="Y17" s="11">
        <f>Neotin!AL17+Neotin!AX17</f>
        <v>0</v>
      </c>
      <c r="Z17" s="11">
        <f>ProntoBaby!Q17+ProntoBaby!AC17</f>
        <v>0</v>
      </c>
      <c r="AA17" s="11">
        <f>ProntoBaby!R17+ProntoBaby!AD17</f>
        <v>0</v>
      </c>
      <c r="AB17" s="11">
        <f>ProntoBaby!S17+ProntoBaby!AE17</f>
        <v>0</v>
      </c>
      <c r="AC17" s="11">
        <f>ProntoBaby!T17+ProntoBaby!AF17</f>
        <v>0</v>
      </c>
      <c r="AD17" s="11">
        <f>ProntoBaby!U17+ProntoBaby!AG17</f>
        <v>0</v>
      </c>
      <c r="AE17" s="11">
        <f>ProntoBaby!V17+ProntoBaby!AH17</f>
        <v>0</v>
      </c>
      <c r="AF17" s="11">
        <f>ProntoBaby!W17+ProntoBaby!AI17</f>
        <v>0</v>
      </c>
      <c r="AG17" s="11">
        <f>ProntoBaby!X17+ProntoBaby!AJ17</f>
        <v>0</v>
      </c>
      <c r="AH17" s="11">
        <f>ProntoBaby!Y17+ProntoBaby!AK17</f>
        <v>0</v>
      </c>
      <c r="AI17" s="11">
        <f>ProntoBaby!Z17+ProntoBaby!AL17</f>
        <v>0</v>
      </c>
      <c r="AJ17" s="11">
        <f>ProntoBaby!AA17+ProntoBaby!AM17</f>
        <v>0</v>
      </c>
      <c r="AK17" s="11">
        <f>ProntoBaby!AB17+ProntoBaby!AN17</f>
        <v>0</v>
      </c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4">
        <f t="shared" si="6"/>
        <v>0</v>
      </c>
      <c r="AY17" s="14">
        <f t="shared" si="7"/>
        <v>0</v>
      </c>
      <c r="AZ17" s="14">
        <f t="shared" si="8"/>
        <v>0</v>
      </c>
      <c r="BA17" s="14">
        <f t="shared" si="9"/>
        <v>0</v>
      </c>
      <c r="BB17" s="14">
        <f t="shared" si="10"/>
        <v>0</v>
      </c>
      <c r="BC17" s="14">
        <f t="shared" si="11"/>
        <v>0</v>
      </c>
      <c r="BD17" s="14">
        <f t="shared" si="12"/>
        <v>0</v>
      </c>
      <c r="BE17" s="14">
        <f t="shared" si="13"/>
        <v>0</v>
      </c>
      <c r="BF17" s="14">
        <f t="shared" si="14"/>
        <v>0</v>
      </c>
      <c r="BG17" s="14">
        <f t="shared" si="15"/>
        <v>0</v>
      </c>
      <c r="BH17" s="14">
        <f t="shared" si="16"/>
        <v>0</v>
      </c>
      <c r="BI17" s="14">
        <f t="shared" si="17"/>
        <v>0</v>
      </c>
      <c r="BJ17" s="14">
        <f t="shared" si="5"/>
        <v>0</v>
      </c>
    </row>
    <row r="18" spans="1:62" x14ac:dyDescent="0.25">
      <c r="A18" t="s">
        <v>34</v>
      </c>
      <c r="B18" s="11">
        <f>Neomater!AL18+Neomater!AX18</f>
        <v>0</v>
      </c>
      <c r="C18" s="11">
        <f>Neomater!AM18+Neomater!AY18</f>
        <v>0</v>
      </c>
      <c r="D18" s="11">
        <f>Neomater!AN18+Neomater!AZ18</f>
        <v>0</v>
      </c>
      <c r="E18" s="11">
        <f>Neomater!AO18+Neomater!BA18</f>
        <v>0</v>
      </c>
      <c r="F18" s="11">
        <f>Neomater!AP18+Neomater!BB18</f>
        <v>0</v>
      </c>
      <c r="G18" s="11">
        <f>Neomater!AQ18+Neomater!BC18</f>
        <v>0</v>
      </c>
      <c r="H18" s="11">
        <f>Neomater!AR18+Neomater!BD18</f>
        <v>0</v>
      </c>
      <c r="I18" s="11">
        <f>Neomater!AS18+Neomater!BE18</f>
        <v>0</v>
      </c>
      <c r="J18" s="11">
        <f>Neomater!AT18+Neomater!BF18</f>
        <v>0</v>
      </c>
      <c r="K18" s="11">
        <f>Neomater!AU18+Neomater!BG18</f>
        <v>0</v>
      </c>
      <c r="L18" s="11">
        <f>Neomater!AV18+Neomater!BH18</f>
        <v>0</v>
      </c>
      <c r="M18" s="11">
        <f>Neomater!AW18+Neomater!BI18</f>
        <v>0</v>
      </c>
      <c r="N18" s="11">
        <f>Neotin!AA18+Neotin!AM18</f>
        <v>0</v>
      </c>
      <c r="O18" s="11">
        <f>Neotin!AB18+Neotin!AN18</f>
        <v>0</v>
      </c>
      <c r="P18" s="11">
        <f>Neotin!AC18+Neotin!AO18</f>
        <v>0</v>
      </c>
      <c r="Q18" s="11">
        <f>Neotin!AD18+Neotin!AP18</f>
        <v>0</v>
      </c>
      <c r="R18" s="11">
        <f>Neotin!AE18+Neotin!AQ18</f>
        <v>0</v>
      </c>
      <c r="S18" s="11">
        <f>Neotin!AF18+Neotin!AR18</f>
        <v>0</v>
      </c>
      <c r="T18" s="11">
        <f>Neotin!AG18+Neotin!AS18</f>
        <v>0</v>
      </c>
      <c r="U18" s="11">
        <f>Neotin!AH18+Neotin!AT18</f>
        <v>0</v>
      </c>
      <c r="V18" s="11">
        <f>Neotin!AI18+Neotin!AU18</f>
        <v>0</v>
      </c>
      <c r="W18" s="11">
        <f>Neotin!AJ18+Neotin!AV18</f>
        <v>0</v>
      </c>
      <c r="X18" s="11">
        <f>Neotin!AK18+Neotin!AW18</f>
        <v>0</v>
      </c>
      <c r="Y18" s="11">
        <f>Neotin!AL18+Neotin!AX18</f>
        <v>0</v>
      </c>
      <c r="Z18" s="11">
        <f>ProntoBaby!Q18+ProntoBaby!AC18</f>
        <v>0</v>
      </c>
      <c r="AA18" s="11">
        <f>ProntoBaby!R18+ProntoBaby!AD18</f>
        <v>0</v>
      </c>
      <c r="AB18" s="11">
        <f>ProntoBaby!S18+ProntoBaby!AE18</f>
        <v>0</v>
      </c>
      <c r="AC18" s="11">
        <f>ProntoBaby!T18+ProntoBaby!AF18</f>
        <v>0</v>
      </c>
      <c r="AD18" s="11">
        <f>ProntoBaby!U18+ProntoBaby!AG18</f>
        <v>0</v>
      </c>
      <c r="AE18" s="11">
        <f>ProntoBaby!V18+ProntoBaby!AH18</f>
        <v>0</v>
      </c>
      <c r="AF18" s="11">
        <f>ProntoBaby!W18+ProntoBaby!AI18</f>
        <v>0</v>
      </c>
      <c r="AG18" s="11">
        <f>ProntoBaby!X18+ProntoBaby!AJ18</f>
        <v>0</v>
      </c>
      <c r="AH18" s="11">
        <f>ProntoBaby!Y18+ProntoBaby!AK18</f>
        <v>0</v>
      </c>
      <c r="AI18" s="11">
        <f>ProntoBaby!Z18+ProntoBaby!AL18</f>
        <v>0</v>
      </c>
      <c r="AJ18" s="11">
        <f>ProntoBaby!AA18+ProntoBaby!AM18</f>
        <v>0</v>
      </c>
      <c r="AK18" s="11">
        <f>ProntoBaby!AB18+ProntoBaby!AN18</f>
        <v>0</v>
      </c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4">
        <f t="shared" si="6"/>
        <v>0</v>
      </c>
      <c r="AY18" s="14">
        <f t="shared" si="7"/>
        <v>0</v>
      </c>
      <c r="AZ18" s="14">
        <f t="shared" si="8"/>
        <v>0</v>
      </c>
      <c r="BA18" s="14">
        <f t="shared" si="9"/>
        <v>0</v>
      </c>
      <c r="BB18" s="14">
        <f t="shared" si="10"/>
        <v>0</v>
      </c>
      <c r="BC18" s="14">
        <f t="shared" si="11"/>
        <v>0</v>
      </c>
      <c r="BD18" s="14">
        <f t="shared" si="12"/>
        <v>0</v>
      </c>
      <c r="BE18" s="14">
        <f t="shared" si="13"/>
        <v>0</v>
      </c>
      <c r="BF18" s="14">
        <f t="shared" si="14"/>
        <v>0</v>
      </c>
      <c r="BG18" s="14">
        <f t="shared" si="15"/>
        <v>0</v>
      </c>
      <c r="BH18" s="14">
        <f t="shared" si="16"/>
        <v>0</v>
      </c>
      <c r="BI18" s="14">
        <f t="shared" si="17"/>
        <v>0</v>
      </c>
      <c r="BJ18" s="14">
        <f>SUM(AX18:BI18)</f>
        <v>0</v>
      </c>
    </row>
    <row r="19" spans="1:62" x14ac:dyDescent="0.25">
      <c r="AX19" s="13"/>
    </row>
  </sheetData>
  <mergeCells count="7">
    <mergeCell ref="A1:A2"/>
    <mergeCell ref="AX1:BH1"/>
    <mergeCell ref="B1:M1"/>
    <mergeCell ref="BI1:BK1"/>
    <mergeCell ref="N1:Y1"/>
    <mergeCell ref="Z1:AK1"/>
    <mergeCell ref="AL1:AW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3ECF-32AC-4114-A35D-11ACEBB61BAB}">
  <sheetPr codeName="Planilha4"/>
  <dimension ref="A1:AA18"/>
  <sheetViews>
    <sheetView zoomScale="85" zoomScaleNormal="85" workbookViewId="0">
      <selection activeCell="C23" sqref="C23"/>
    </sheetView>
  </sheetViews>
  <sheetFormatPr defaultRowHeight="15" x14ac:dyDescent="0.25"/>
  <cols>
    <col min="1" max="1" width="71.5703125" bestFit="1" customWidth="1"/>
  </cols>
  <sheetData>
    <row r="1" spans="1:27" x14ac:dyDescent="0.25">
      <c r="A1" s="21" t="s">
        <v>35</v>
      </c>
      <c r="B1" s="23" t="s">
        <v>60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5"/>
      <c r="N1" s="23" t="s">
        <v>17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6"/>
      <c r="Z1" s="26"/>
      <c r="AA1" s="26"/>
    </row>
    <row r="2" spans="1:27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37</v>
      </c>
      <c r="N2" s="15" t="s">
        <v>39</v>
      </c>
      <c r="O2" s="15" t="s">
        <v>40</v>
      </c>
      <c r="P2" s="15" t="s">
        <v>44</v>
      </c>
      <c r="Q2" s="15" t="s">
        <v>20</v>
      </c>
      <c r="R2" s="15" t="s">
        <v>45</v>
      </c>
      <c r="S2" s="15" t="s">
        <v>42</v>
      </c>
      <c r="T2" s="15" t="s">
        <v>43</v>
      </c>
      <c r="U2" s="15" t="s">
        <v>36</v>
      </c>
      <c r="V2" s="15" t="s">
        <v>46</v>
      </c>
      <c r="W2" s="15" t="s">
        <v>38</v>
      </c>
      <c r="X2" s="15" t="s">
        <v>41</v>
      </c>
      <c r="Y2" s="15" t="s">
        <v>37</v>
      </c>
      <c r="Z2" s="16" t="s">
        <v>17</v>
      </c>
    </row>
    <row r="3" spans="1:27" x14ac:dyDescent="0.25">
      <c r="A3" s="12" t="s">
        <v>17</v>
      </c>
      <c r="B3" s="10">
        <f>SUM(B4:B18)</f>
        <v>0</v>
      </c>
      <c r="C3" s="10">
        <f t="shared" ref="C3:M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4">
        <f t="shared" ref="N3:Y3" si="1">SUM(N4:N18)</f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>SUM(Z4:Z18)</f>
        <v>0</v>
      </c>
    </row>
    <row r="4" spans="1:27" x14ac:dyDescent="0.25">
      <c r="A4" t="s">
        <v>21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4">
        <f t="shared" ref="N4:Y18" si="2">B4</f>
        <v>0</v>
      </c>
      <c r="O4" s="14">
        <f t="shared" si="2"/>
        <v>0</v>
      </c>
      <c r="P4" s="14">
        <f t="shared" si="2"/>
        <v>0</v>
      </c>
      <c r="Q4" s="14">
        <f t="shared" si="2"/>
        <v>0</v>
      </c>
      <c r="R4" s="14">
        <f t="shared" si="2"/>
        <v>0</v>
      </c>
      <c r="S4" s="14">
        <f t="shared" si="2"/>
        <v>0</v>
      </c>
      <c r="T4" s="14">
        <f t="shared" si="2"/>
        <v>0</v>
      </c>
      <c r="U4" s="14">
        <f t="shared" si="2"/>
        <v>0</v>
      </c>
      <c r="V4" s="14">
        <f t="shared" si="2"/>
        <v>0</v>
      </c>
      <c r="W4" s="14">
        <f t="shared" si="2"/>
        <v>0</v>
      </c>
      <c r="X4" s="14">
        <f t="shared" si="2"/>
        <v>0</v>
      </c>
      <c r="Y4" s="14">
        <f t="shared" si="2"/>
        <v>0</v>
      </c>
      <c r="Z4" s="14">
        <f t="shared" ref="Z4:Z17" si="3">SUM(N4:Y4)</f>
        <v>0</v>
      </c>
    </row>
    <row r="5" spans="1:27" x14ac:dyDescent="0.25">
      <c r="A5" t="s">
        <v>22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4">
        <f t="shared" si="2"/>
        <v>0</v>
      </c>
      <c r="O5" s="14">
        <f t="shared" si="2"/>
        <v>0</v>
      </c>
      <c r="P5" s="14">
        <f t="shared" si="2"/>
        <v>0</v>
      </c>
      <c r="Q5" s="14">
        <f t="shared" si="2"/>
        <v>0</v>
      </c>
      <c r="R5" s="14">
        <f t="shared" si="2"/>
        <v>0</v>
      </c>
      <c r="S5" s="14">
        <f t="shared" si="2"/>
        <v>0</v>
      </c>
      <c r="T5" s="14">
        <f t="shared" si="2"/>
        <v>0</v>
      </c>
      <c r="U5" s="14">
        <f t="shared" si="2"/>
        <v>0</v>
      </c>
      <c r="V5" s="14">
        <f t="shared" si="2"/>
        <v>0</v>
      </c>
      <c r="W5" s="14">
        <f t="shared" si="2"/>
        <v>0</v>
      </c>
      <c r="X5" s="14">
        <f t="shared" si="2"/>
        <v>0</v>
      </c>
      <c r="Y5" s="14">
        <f t="shared" si="2"/>
        <v>0</v>
      </c>
      <c r="Z5" s="14">
        <f t="shared" si="3"/>
        <v>0</v>
      </c>
    </row>
    <row r="6" spans="1:27" x14ac:dyDescent="0.25">
      <c r="A6" t="s">
        <v>23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4">
        <f t="shared" si="2"/>
        <v>0</v>
      </c>
      <c r="O6" s="14">
        <f t="shared" si="2"/>
        <v>0</v>
      </c>
      <c r="P6" s="14">
        <f t="shared" si="2"/>
        <v>0</v>
      </c>
      <c r="Q6" s="14">
        <f t="shared" si="2"/>
        <v>0</v>
      </c>
      <c r="R6" s="14">
        <f t="shared" si="2"/>
        <v>0</v>
      </c>
      <c r="S6" s="14">
        <f t="shared" si="2"/>
        <v>0</v>
      </c>
      <c r="T6" s="14">
        <f t="shared" si="2"/>
        <v>0</v>
      </c>
      <c r="U6" s="14">
        <f t="shared" si="2"/>
        <v>0</v>
      </c>
      <c r="V6" s="14">
        <f t="shared" si="2"/>
        <v>0</v>
      </c>
      <c r="W6" s="14">
        <f t="shared" si="2"/>
        <v>0</v>
      </c>
      <c r="X6" s="14">
        <f t="shared" si="2"/>
        <v>0</v>
      </c>
      <c r="Y6" s="14">
        <f t="shared" si="2"/>
        <v>0</v>
      </c>
      <c r="Z6" s="14">
        <f t="shared" si="3"/>
        <v>0</v>
      </c>
    </row>
    <row r="7" spans="1:27" x14ac:dyDescent="0.25">
      <c r="A7" t="s">
        <v>59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4">
        <f t="shared" si="2"/>
        <v>0</v>
      </c>
      <c r="O7" s="14">
        <f t="shared" si="2"/>
        <v>0</v>
      </c>
      <c r="P7" s="14">
        <f t="shared" si="2"/>
        <v>0</v>
      </c>
      <c r="Q7" s="14">
        <f t="shared" si="2"/>
        <v>0</v>
      </c>
      <c r="R7" s="14">
        <f t="shared" si="2"/>
        <v>0</v>
      </c>
      <c r="S7" s="14">
        <f t="shared" si="2"/>
        <v>0</v>
      </c>
      <c r="T7" s="14">
        <f t="shared" si="2"/>
        <v>0</v>
      </c>
      <c r="U7" s="14">
        <f t="shared" si="2"/>
        <v>0</v>
      </c>
      <c r="V7" s="14">
        <f t="shared" si="2"/>
        <v>0</v>
      </c>
      <c r="W7" s="14">
        <f t="shared" si="2"/>
        <v>0</v>
      </c>
      <c r="X7" s="14">
        <f t="shared" si="2"/>
        <v>0</v>
      </c>
      <c r="Y7" s="14">
        <f t="shared" si="2"/>
        <v>0</v>
      </c>
      <c r="Z7" s="14">
        <f t="shared" si="3"/>
        <v>0</v>
      </c>
    </row>
    <row r="8" spans="1:27" x14ac:dyDescent="0.25">
      <c r="A8" t="s">
        <v>30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4">
        <f t="shared" si="2"/>
        <v>0</v>
      </c>
      <c r="O8" s="14">
        <f t="shared" si="2"/>
        <v>0</v>
      </c>
      <c r="P8" s="14">
        <f t="shared" si="2"/>
        <v>0</v>
      </c>
      <c r="Q8" s="14">
        <f t="shared" si="2"/>
        <v>0</v>
      </c>
      <c r="R8" s="14">
        <f t="shared" si="2"/>
        <v>0</v>
      </c>
      <c r="S8" s="14">
        <f t="shared" si="2"/>
        <v>0</v>
      </c>
      <c r="T8" s="14">
        <f t="shared" si="2"/>
        <v>0</v>
      </c>
      <c r="U8" s="14">
        <f t="shared" si="2"/>
        <v>0</v>
      </c>
      <c r="V8" s="14">
        <f t="shared" si="2"/>
        <v>0</v>
      </c>
      <c r="W8" s="14">
        <f t="shared" si="2"/>
        <v>0</v>
      </c>
      <c r="X8" s="14">
        <f t="shared" si="2"/>
        <v>0</v>
      </c>
      <c r="Y8" s="14">
        <f t="shared" si="2"/>
        <v>0</v>
      </c>
      <c r="Z8" s="14">
        <f t="shared" si="3"/>
        <v>0</v>
      </c>
    </row>
    <row r="9" spans="1:27" x14ac:dyDescent="0.25">
      <c r="A9" t="s">
        <v>24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4">
        <f t="shared" si="2"/>
        <v>0</v>
      </c>
      <c r="O9" s="14">
        <f t="shared" si="2"/>
        <v>0</v>
      </c>
      <c r="P9" s="14">
        <f t="shared" si="2"/>
        <v>0</v>
      </c>
      <c r="Q9" s="14">
        <f t="shared" si="2"/>
        <v>0</v>
      </c>
      <c r="R9" s="14">
        <f t="shared" si="2"/>
        <v>0</v>
      </c>
      <c r="S9" s="14">
        <f t="shared" si="2"/>
        <v>0</v>
      </c>
      <c r="T9" s="14">
        <f t="shared" si="2"/>
        <v>0</v>
      </c>
      <c r="U9" s="14">
        <f t="shared" si="2"/>
        <v>0</v>
      </c>
      <c r="V9" s="14">
        <f t="shared" si="2"/>
        <v>0</v>
      </c>
      <c r="W9" s="14">
        <f t="shared" si="2"/>
        <v>0</v>
      </c>
      <c r="X9" s="14">
        <f t="shared" si="2"/>
        <v>0</v>
      </c>
      <c r="Y9" s="14">
        <f t="shared" si="2"/>
        <v>0</v>
      </c>
      <c r="Z9" s="14">
        <f t="shared" si="3"/>
        <v>0</v>
      </c>
    </row>
    <row r="10" spans="1:27" x14ac:dyDescent="0.25">
      <c r="A10" t="s">
        <v>25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4">
        <f t="shared" si="2"/>
        <v>0</v>
      </c>
      <c r="O10" s="14">
        <f t="shared" si="2"/>
        <v>0</v>
      </c>
      <c r="P10" s="14">
        <f t="shared" si="2"/>
        <v>0</v>
      </c>
      <c r="Q10" s="14">
        <f t="shared" si="2"/>
        <v>0</v>
      </c>
      <c r="R10" s="14">
        <f t="shared" si="2"/>
        <v>0</v>
      </c>
      <c r="S10" s="14">
        <f t="shared" si="2"/>
        <v>0</v>
      </c>
      <c r="T10" s="14">
        <f t="shared" si="2"/>
        <v>0</v>
      </c>
      <c r="U10" s="14">
        <f t="shared" si="2"/>
        <v>0</v>
      </c>
      <c r="V10" s="14">
        <f t="shared" si="2"/>
        <v>0</v>
      </c>
      <c r="W10" s="14">
        <f t="shared" si="2"/>
        <v>0</v>
      </c>
      <c r="X10" s="14">
        <f t="shared" si="2"/>
        <v>0</v>
      </c>
      <c r="Y10" s="14">
        <f t="shared" si="2"/>
        <v>0</v>
      </c>
      <c r="Z10" s="14">
        <f t="shared" si="3"/>
        <v>0</v>
      </c>
    </row>
    <row r="11" spans="1:27" x14ac:dyDescent="0.25">
      <c r="A11" t="s">
        <v>26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4">
        <f t="shared" si="2"/>
        <v>0</v>
      </c>
      <c r="O11" s="14">
        <f t="shared" si="2"/>
        <v>0</v>
      </c>
      <c r="P11" s="14">
        <f t="shared" si="2"/>
        <v>0</v>
      </c>
      <c r="Q11" s="14">
        <f t="shared" si="2"/>
        <v>0</v>
      </c>
      <c r="R11" s="14">
        <f t="shared" si="2"/>
        <v>0</v>
      </c>
      <c r="S11" s="14">
        <f t="shared" si="2"/>
        <v>0</v>
      </c>
      <c r="T11" s="14">
        <f t="shared" si="2"/>
        <v>0</v>
      </c>
      <c r="U11" s="14">
        <f t="shared" si="2"/>
        <v>0</v>
      </c>
      <c r="V11" s="14">
        <f t="shared" si="2"/>
        <v>0</v>
      </c>
      <c r="W11" s="14">
        <f t="shared" si="2"/>
        <v>0</v>
      </c>
      <c r="X11" s="14">
        <f t="shared" si="2"/>
        <v>0</v>
      </c>
      <c r="Y11" s="14">
        <f t="shared" si="2"/>
        <v>0</v>
      </c>
      <c r="Z11" s="14">
        <f t="shared" si="3"/>
        <v>0</v>
      </c>
    </row>
    <row r="12" spans="1:27" x14ac:dyDescent="0.25">
      <c r="A12" t="s">
        <v>27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4">
        <f t="shared" si="2"/>
        <v>0</v>
      </c>
      <c r="O12" s="14">
        <f t="shared" si="2"/>
        <v>0</v>
      </c>
      <c r="P12" s="14">
        <f t="shared" si="2"/>
        <v>0</v>
      </c>
      <c r="Q12" s="14">
        <f t="shared" si="2"/>
        <v>0</v>
      </c>
      <c r="R12" s="14">
        <f t="shared" si="2"/>
        <v>0</v>
      </c>
      <c r="S12" s="14">
        <f t="shared" si="2"/>
        <v>0</v>
      </c>
      <c r="T12" s="14">
        <f t="shared" si="2"/>
        <v>0</v>
      </c>
      <c r="U12" s="14">
        <f t="shared" si="2"/>
        <v>0</v>
      </c>
      <c r="V12" s="14">
        <f t="shared" si="2"/>
        <v>0</v>
      </c>
      <c r="W12" s="14">
        <f t="shared" si="2"/>
        <v>0</v>
      </c>
      <c r="X12" s="14">
        <f t="shared" si="2"/>
        <v>0</v>
      </c>
      <c r="Y12" s="14">
        <f t="shared" si="2"/>
        <v>0</v>
      </c>
      <c r="Z12" s="14">
        <f t="shared" si="3"/>
        <v>0</v>
      </c>
    </row>
    <row r="13" spans="1:27" x14ac:dyDescent="0.25">
      <c r="A13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4">
        <f t="shared" si="2"/>
        <v>0</v>
      </c>
      <c r="O13" s="14">
        <f t="shared" si="2"/>
        <v>0</v>
      </c>
      <c r="P13" s="14">
        <f t="shared" si="2"/>
        <v>0</v>
      </c>
      <c r="Q13" s="14">
        <f t="shared" si="2"/>
        <v>0</v>
      </c>
      <c r="R13" s="14">
        <f t="shared" si="2"/>
        <v>0</v>
      </c>
      <c r="S13" s="14">
        <f t="shared" si="2"/>
        <v>0</v>
      </c>
      <c r="T13" s="14">
        <f t="shared" si="2"/>
        <v>0</v>
      </c>
      <c r="U13" s="14">
        <f t="shared" si="2"/>
        <v>0</v>
      </c>
      <c r="V13" s="14">
        <f t="shared" si="2"/>
        <v>0</v>
      </c>
      <c r="W13" s="14">
        <f t="shared" si="2"/>
        <v>0</v>
      </c>
      <c r="X13" s="14">
        <f t="shared" si="2"/>
        <v>0</v>
      </c>
      <c r="Y13" s="14">
        <f t="shared" si="2"/>
        <v>0</v>
      </c>
      <c r="Z13" s="14">
        <f t="shared" si="3"/>
        <v>0</v>
      </c>
    </row>
    <row r="14" spans="1:27" x14ac:dyDescent="0.25">
      <c r="A14" t="s">
        <v>32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4">
        <f t="shared" si="2"/>
        <v>0</v>
      </c>
      <c r="O14" s="14">
        <f t="shared" si="2"/>
        <v>0</v>
      </c>
      <c r="P14" s="14">
        <f t="shared" si="2"/>
        <v>0</v>
      </c>
      <c r="Q14" s="14">
        <f t="shared" si="2"/>
        <v>0</v>
      </c>
      <c r="R14" s="14">
        <f t="shared" si="2"/>
        <v>0</v>
      </c>
      <c r="S14" s="14">
        <f t="shared" si="2"/>
        <v>0</v>
      </c>
      <c r="T14" s="14">
        <f t="shared" si="2"/>
        <v>0</v>
      </c>
      <c r="U14" s="14">
        <f t="shared" si="2"/>
        <v>0</v>
      </c>
      <c r="V14" s="14">
        <f t="shared" si="2"/>
        <v>0</v>
      </c>
      <c r="W14" s="14">
        <f t="shared" si="2"/>
        <v>0</v>
      </c>
      <c r="X14" s="14">
        <f t="shared" si="2"/>
        <v>0</v>
      </c>
      <c r="Y14" s="14">
        <f t="shared" si="2"/>
        <v>0</v>
      </c>
      <c r="Z14" s="14">
        <f t="shared" si="3"/>
        <v>0</v>
      </c>
    </row>
    <row r="15" spans="1:27" x14ac:dyDescent="0.25">
      <c r="A15" t="s">
        <v>28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>
        <f t="shared" si="2"/>
        <v>0</v>
      </c>
      <c r="O15" s="14">
        <f t="shared" si="2"/>
        <v>0</v>
      </c>
      <c r="P15" s="14">
        <f t="shared" si="2"/>
        <v>0</v>
      </c>
      <c r="Q15" s="14">
        <f t="shared" si="2"/>
        <v>0</v>
      </c>
      <c r="R15" s="14">
        <f t="shared" si="2"/>
        <v>0</v>
      </c>
      <c r="S15" s="14">
        <f t="shared" si="2"/>
        <v>0</v>
      </c>
      <c r="T15" s="14">
        <f t="shared" si="2"/>
        <v>0</v>
      </c>
      <c r="U15" s="14">
        <f t="shared" si="2"/>
        <v>0</v>
      </c>
      <c r="V15" s="14">
        <f t="shared" si="2"/>
        <v>0</v>
      </c>
      <c r="W15" s="14">
        <f t="shared" si="2"/>
        <v>0</v>
      </c>
      <c r="X15" s="14">
        <f t="shared" si="2"/>
        <v>0</v>
      </c>
      <c r="Y15" s="14">
        <f t="shared" si="2"/>
        <v>0</v>
      </c>
      <c r="Z15" s="14">
        <f t="shared" si="3"/>
        <v>0</v>
      </c>
    </row>
    <row r="16" spans="1:27" x14ac:dyDescent="0.25">
      <c r="A16" t="s">
        <v>29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4">
        <f t="shared" si="2"/>
        <v>0</v>
      </c>
      <c r="O16" s="14">
        <f t="shared" si="2"/>
        <v>0</v>
      </c>
      <c r="P16" s="14">
        <f t="shared" si="2"/>
        <v>0</v>
      </c>
      <c r="Q16" s="14">
        <f t="shared" si="2"/>
        <v>0</v>
      </c>
      <c r="R16" s="14">
        <f t="shared" si="2"/>
        <v>0</v>
      </c>
      <c r="S16" s="14">
        <f t="shared" si="2"/>
        <v>0</v>
      </c>
      <c r="T16" s="14">
        <f t="shared" si="2"/>
        <v>0</v>
      </c>
      <c r="U16" s="14">
        <f t="shared" si="2"/>
        <v>0</v>
      </c>
      <c r="V16" s="14">
        <f t="shared" si="2"/>
        <v>0</v>
      </c>
      <c r="W16" s="14">
        <f t="shared" si="2"/>
        <v>0</v>
      </c>
      <c r="X16" s="14">
        <f t="shared" si="2"/>
        <v>0</v>
      </c>
      <c r="Y16" s="14">
        <f t="shared" si="2"/>
        <v>0</v>
      </c>
      <c r="Z16" s="14">
        <f t="shared" si="3"/>
        <v>0</v>
      </c>
    </row>
    <row r="17" spans="1:26" x14ac:dyDescent="0.25">
      <c r="A17" t="s">
        <v>33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4">
        <f t="shared" si="2"/>
        <v>0</v>
      </c>
      <c r="O17" s="14">
        <f t="shared" si="2"/>
        <v>0</v>
      </c>
      <c r="P17" s="14">
        <f t="shared" si="2"/>
        <v>0</v>
      </c>
      <c r="Q17" s="14">
        <f t="shared" si="2"/>
        <v>0</v>
      </c>
      <c r="R17" s="14">
        <f t="shared" si="2"/>
        <v>0</v>
      </c>
      <c r="S17" s="14">
        <f t="shared" si="2"/>
        <v>0</v>
      </c>
      <c r="T17" s="14">
        <f t="shared" si="2"/>
        <v>0</v>
      </c>
      <c r="U17" s="14">
        <f t="shared" si="2"/>
        <v>0</v>
      </c>
      <c r="V17" s="14">
        <f t="shared" si="2"/>
        <v>0</v>
      </c>
      <c r="W17" s="14">
        <f t="shared" si="2"/>
        <v>0</v>
      </c>
      <c r="X17" s="14">
        <f t="shared" si="2"/>
        <v>0</v>
      </c>
      <c r="Y17" s="14">
        <f t="shared" si="2"/>
        <v>0</v>
      </c>
      <c r="Z17" s="14">
        <f t="shared" si="3"/>
        <v>0</v>
      </c>
    </row>
    <row r="18" spans="1:26" x14ac:dyDescent="0.25">
      <c r="A18" t="s">
        <v>34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0</v>
      </c>
      <c r="U18" s="14">
        <f t="shared" si="2"/>
        <v>0</v>
      </c>
      <c r="V18" s="14">
        <f t="shared" si="2"/>
        <v>0</v>
      </c>
      <c r="W18" s="14">
        <f t="shared" si="2"/>
        <v>0</v>
      </c>
      <c r="X18" s="14">
        <f t="shared" si="2"/>
        <v>0</v>
      </c>
      <c r="Y18" s="14">
        <f t="shared" si="2"/>
        <v>0</v>
      </c>
      <c r="Z18" s="14">
        <f>SUM(N18:Y18)</f>
        <v>0</v>
      </c>
    </row>
  </sheetData>
  <mergeCells count="4">
    <mergeCell ref="A1:A2"/>
    <mergeCell ref="B1:M1"/>
    <mergeCell ref="N1:X1"/>
    <mergeCell ref="Y1:AA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50F5-E83C-40C9-9F5B-EE6F23549113}">
  <sheetPr codeName="Planilha5"/>
  <dimension ref="A1:DS19"/>
  <sheetViews>
    <sheetView tabSelected="1" zoomScaleNormal="100" workbookViewId="0">
      <selection activeCell="A3" sqref="A3"/>
    </sheetView>
  </sheetViews>
  <sheetFormatPr defaultRowHeight="15" x14ac:dyDescent="0.25"/>
  <cols>
    <col min="1" max="1" width="71.5703125" bestFit="1" customWidth="1"/>
    <col min="2" max="2" width="4" customWidth="1"/>
    <col min="3" max="3" width="5" bestFit="1" customWidth="1"/>
    <col min="4" max="4" width="2.5703125" bestFit="1" customWidth="1"/>
    <col min="5" max="5" width="4.140625" customWidth="1"/>
    <col min="6" max="6" width="5.28515625" customWidth="1"/>
    <col min="7" max="7" width="6.140625" customWidth="1"/>
    <col min="8" max="8" width="3.85546875" bestFit="1" customWidth="1"/>
    <col min="9" max="9" width="4.28515625" customWidth="1"/>
    <col min="10" max="10" width="5.85546875" customWidth="1"/>
    <col min="11" max="11" width="5.28515625" customWidth="1"/>
    <col min="12" max="12" width="4.42578125" customWidth="1"/>
    <col min="13" max="13" width="5" bestFit="1" customWidth="1"/>
    <col min="14" max="14" width="4" bestFit="1" customWidth="1"/>
    <col min="15" max="15" width="5" bestFit="1" customWidth="1"/>
    <col min="16" max="16" width="2.5703125" bestFit="1" customWidth="1"/>
    <col min="17" max="17" width="4.140625" bestFit="1" customWidth="1"/>
    <col min="18" max="18" width="5.28515625" bestFit="1" customWidth="1"/>
    <col min="19" max="19" width="6.140625" bestFit="1" customWidth="1"/>
    <col min="20" max="20" width="3.85546875" bestFit="1" customWidth="1"/>
    <col min="21" max="21" width="4.28515625" bestFit="1" customWidth="1"/>
    <col min="22" max="22" width="5.85546875" bestFit="1" customWidth="1"/>
    <col min="23" max="23" width="5.28515625" customWidth="1"/>
    <col min="24" max="24" width="4.42578125" bestFit="1" customWidth="1"/>
    <col min="25" max="25" width="5.5703125" bestFit="1" customWidth="1"/>
    <col min="26" max="26" width="4" bestFit="1" customWidth="1"/>
    <col min="27" max="27" width="5" bestFit="1" customWidth="1"/>
    <col min="28" max="28" width="2.5703125" bestFit="1" customWidth="1"/>
    <col min="29" max="29" width="4.140625" bestFit="1" customWidth="1"/>
    <col min="30" max="30" width="5.28515625" bestFit="1" customWidth="1"/>
    <col min="31" max="31" width="6.140625" bestFit="1" customWidth="1"/>
    <col min="32" max="32" width="3.85546875" bestFit="1" customWidth="1"/>
    <col min="33" max="33" width="4.28515625" bestFit="1" customWidth="1"/>
    <col min="34" max="34" width="5.85546875" bestFit="1" customWidth="1"/>
    <col min="35" max="35" width="5.28515625" bestFit="1" customWidth="1"/>
    <col min="36" max="36" width="4.42578125" bestFit="1" customWidth="1"/>
    <col min="37" max="37" width="5.5703125" bestFit="1" customWidth="1"/>
    <col min="38" max="38" width="4" bestFit="1" customWidth="1"/>
    <col min="39" max="39" width="5" bestFit="1" customWidth="1"/>
    <col min="40" max="40" width="5.5703125" customWidth="1"/>
    <col min="41" max="41" width="4.140625" bestFit="1" customWidth="1"/>
    <col min="42" max="42" width="5.28515625" bestFit="1" customWidth="1"/>
    <col min="43" max="43" width="6.140625" bestFit="1" customWidth="1"/>
    <col min="44" max="44" width="3.85546875" bestFit="1" customWidth="1"/>
    <col min="45" max="45" width="4.28515625" bestFit="1" customWidth="1"/>
    <col min="46" max="46" width="5.85546875" bestFit="1" customWidth="1"/>
    <col min="47" max="47" width="5.28515625" bestFit="1" customWidth="1"/>
    <col min="48" max="48" width="4.42578125" bestFit="1" customWidth="1"/>
    <col min="49" max="49" width="5.5703125" bestFit="1" customWidth="1"/>
    <col min="50" max="50" width="4" bestFit="1" customWidth="1"/>
    <col min="51" max="51" width="5" bestFit="1" customWidth="1"/>
    <col min="52" max="52" width="5.5703125" customWidth="1"/>
    <col min="53" max="53" width="4.140625" bestFit="1" customWidth="1"/>
    <col min="54" max="54" width="5.28515625" bestFit="1" customWidth="1"/>
    <col min="55" max="55" width="6.140625" bestFit="1" customWidth="1"/>
    <col min="56" max="56" width="3.85546875" bestFit="1" customWidth="1"/>
    <col min="57" max="57" width="4.28515625" bestFit="1" customWidth="1"/>
    <col min="58" max="58" width="5.85546875" bestFit="1" customWidth="1"/>
    <col min="59" max="59" width="5.28515625" bestFit="1" customWidth="1"/>
    <col min="60" max="60" width="4.42578125" bestFit="1" customWidth="1"/>
    <col min="61" max="61" width="5.5703125" bestFit="1" customWidth="1"/>
    <col min="62" max="109" width="5.5703125" customWidth="1"/>
  </cols>
  <sheetData>
    <row r="1" spans="1:123" x14ac:dyDescent="0.25">
      <c r="A1" s="21" t="s">
        <v>57</v>
      </c>
      <c r="B1" s="28" t="s">
        <v>62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  <c r="N1" s="23" t="s">
        <v>61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7"/>
      <c r="Z1" s="28" t="s">
        <v>63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58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5"/>
      <c r="AX1" s="23" t="s">
        <v>69</v>
      </c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5"/>
      <c r="BJ1" s="23" t="s">
        <v>70</v>
      </c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5"/>
      <c r="BV1" s="23" t="s">
        <v>71</v>
      </c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5"/>
      <c r="CH1" s="23" t="s">
        <v>72</v>
      </c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5"/>
      <c r="CT1" s="23" t="s">
        <v>73</v>
      </c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5"/>
      <c r="DF1" s="23" t="s">
        <v>17</v>
      </c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6"/>
      <c r="DR1" s="26"/>
      <c r="DS1" s="26"/>
    </row>
    <row r="2" spans="1:12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0" t="s">
        <v>39</v>
      </c>
      <c r="AY2" s="10" t="s">
        <v>40</v>
      </c>
      <c r="AZ2" s="10" t="s">
        <v>44</v>
      </c>
      <c r="BA2" s="10" t="s">
        <v>20</v>
      </c>
      <c r="BB2" s="10" t="s">
        <v>45</v>
      </c>
      <c r="BC2" s="10" t="s">
        <v>42</v>
      </c>
      <c r="BD2" s="10" t="s">
        <v>43</v>
      </c>
      <c r="BE2" s="10" t="s">
        <v>36</v>
      </c>
      <c r="BF2" s="10" t="s">
        <v>46</v>
      </c>
      <c r="BG2" s="10" t="s">
        <v>38</v>
      </c>
      <c r="BH2" s="10" t="s">
        <v>41</v>
      </c>
      <c r="BI2" s="10" t="s">
        <v>37</v>
      </c>
      <c r="BJ2" s="10" t="s">
        <v>39</v>
      </c>
      <c r="BK2" s="10" t="s">
        <v>40</v>
      </c>
      <c r="BL2" s="10" t="s">
        <v>44</v>
      </c>
      <c r="BM2" s="10" t="s">
        <v>20</v>
      </c>
      <c r="BN2" s="10" t="s">
        <v>45</v>
      </c>
      <c r="BO2" s="10" t="s">
        <v>42</v>
      </c>
      <c r="BP2" s="10" t="s">
        <v>43</v>
      </c>
      <c r="BQ2" s="10" t="s">
        <v>36</v>
      </c>
      <c r="BR2" s="10" t="s">
        <v>46</v>
      </c>
      <c r="BS2" s="10" t="s">
        <v>38</v>
      </c>
      <c r="BT2" s="10" t="s">
        <v>41</v>
      </c>
      <c r="BU2" s="10" t="s">
        <v>37</v>
      </c>
      <c r="BV2" s="10" t="s">
        <v>39</v>
      </c>
      <c r="BW2" s="10" t="s">
        <v>40</v>
      </c>
      <c r="BX2" s="10" t="s">
        <v>44</v>
      </c>
      <c r="BY2" s="10" t="s">
        <v>20</v>
      </c>
      <c r="BZ2" s="10" t="s">
        <v>45</v>
      </c>
      <c r="CA2" s="10" t="s">
        <v>42</v>
      </c>
      <c r="CB2" s="10" t="s">
        <v>43</v>
      </c>
      <c r="CC2" s="10" t="s">
        <v>36</v>
      </c>
      <c r="CD2" s="10" t="s">
        <v>46</v>
      </c>
      <c r="CE2" s="10" t="s">
        <v>38</v>
      </c>
      <c r="CF2" s="10" t="s">
        <v>41</v>
      </c>
      <c r="CG2" s="10" t="s">
        <v>37</v>
      </c>
      <c r="CH2" s="10" t="s">
        <v>39</v>
      </c>
      <c r="CI2" s="10" t="s">
        <v>40</v>
      </c>
      <c r="CJ2" s="10" t="s">
        <v>44</v>
      </c>
      <c r="CK2" s="10" t="s">
        <v>20</v>
      </c>
      <c r="CL2" s="10" t="s">
        <v>45</v>
      </c>
      <c r="CM2" s="10" t="s">
        <v>42</v>
      </c>
      <c r="CN2" s="10" t="s">
        <v>43</v>
      </c>
      <c r="CO2" s="10" t="s">
        <v>36</v>
      </c>
      <c r="CP2" s="10" t="s">
        <v>46</v>
      </c>
      <c r="CQ2" s="10" t="s">
        <v>38</v>
      </c>
      <c r="CR2" s="10" t="s">
        <v>41</v>
      </c>
      <c r="CS2" s="10" t="s">
        <v>37</v>
      </c>
      <c r="CT2" s="10" t="s">
        <v>39</v>
      </c>
      <c r="CU2" s="10" t="s">
        <v>40</v>
      </c>
      <c r="CV2" s="10" t="s">
        <v>44</v>
      </c>
      <c r="CW2" s="10" t="s">
        <v>20</v>
      </c>
      <c r="CX2" s="10" t="s">
        <v>45</v>
      </c>
      <c r="CY2" s="10" t="s">
        <v>42</v>
      </c>
      <c r="CZ2" s="10" t="s">
        <v>43</v>
      </c>
      <c r="DA2" s="10" t="s">
        <v>36</v>
      </c>
      <c r="DB2" s="10" t="s">
        <v>46</v>
      </c>
      <c r="DC2" s="10" t="s">
        <v>38</v>
      </c>
      <c r="DD2" s="10" t="s">
        <v>41</v>
      </c>
      <c r="DE2" s="10" t="s">
        <v>37</v>
      </c>
      <c r="DF2" s="15" t="s">
        <v>39</v>
      </c>
      <c r="DG2" s="15" t="s">
        <v>40</v>
      </c>
      <c r="DH2" s="15" t="s">
        <v>44</v>
      </c>
      <c r="DI2" s="15" t="s">
        <v>20</v>
      </c>
      <c r="DJ2" s="15" t="s">
        <v>45</v>
      </c>
      <c r="DK2" s="15" t="s">
        <v>42</v>
      </c>
      <c r="DL2" s="15" t="s">
        <v>43</v>
      </c>
      <c r="DM2" s="15" t="s">
        <v>36</v>
      </c>
      <c r="DN2" s="15" t="s">
        <v>46</v>
      </c>
      <c r="DO2" s="15" t="s">
        <v>38</v>
      </c>
      <c r="DP2" s="15" t="s">
        <v>41</v>
      </c>
      <c r="DQ2" s="15" t="s">
        <v>37</v>
      </c>
      <c r="DR2" s="16" t="s">
        <v>17</v>
      </c>
    </row>
    <row r="3" spans="1:123" x14ac:dyDescent="0.25">
      <c r="A3" s="12" t="s">
        <v>17</v>
      </c>
      <c r="B3" s="10">
        <f>SUM(B4:B18)</f>
        <v>0</v>
      </c>
      <c r="C3" s="10">
        <f t="shared" ref="C3:BN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0">
        <f t="shared" si="0"/>
        <v>0</v>
      </c>
      <c r="O3" s="10">
        <f t="shared" si="0"/>
        <v>0</v>
      </c>
      <c r="P3" s="10">
        <f t="shared" si="0"/>
        <v>0</v>
      </c>
      <c r="Q3" s="10">
        <f t="shared" si="0"/>
        <v>0</v>
      </c>
      <c r="R3" s="10">
        <f t="shared" si="0"/>
        <v>0</v>
      </c>
      <c r="S3" s="10">
        <f t="shared" si="0"/>
        <v>0</v>
      </c>
      <c r="T3" s="10">
        <f t="shared" si="0"/>
        <v>0</v>
      </c>
      <c r="U3" s="10">
        <f t="shared" si="0"/>
        <v>0</v>
      </c>
      <c r="V3" s="10">
        <f t="shared" si="0"/>
        <v>0</v>
      </c>
      <c r="W3" s="10">
        <f t="shared" si="0"/>
        <v>0</v>
      </c>
      <c r="X3" s="10">
        <f t="shared" si="0"/>
        <v>0</v>
      </c>
      <c r="Y3" s="10">
        <f t="shared" si="0"/>
        <v>0</v>
      </c>
      <c r="Z3" s="10">
        <f t="shared" si="0"/>
        <v>0</v>
      </c>
      <c r="AA3" s="10">
        <f t="shared" si="0"/>
        <v>0</v>
      </c>
      <c r="AB3" s="10">
        <f t="shared" si="0"/>
        <v>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0</v>
      </c>
      <c r="AH3" s="10">
        <f t="shared" si="0"/>
        <v>0</v>
      </c>
      <c r="AI3" s="10">
        <f t="shared" si="0"/>
        <v>0</v>
      </c>
      <c r="AJ3" s="10">
        <f t="shared" si="0"/>
        <v>0</v>
      </c>
      <c r="AK3" s="10">
        <f t="shared" si="0"/>
        <v>0</v>
      </c>
      <c r="AL3" s="10">
        <f t="shared" si="0"/>
        <v>0</v>
      </c>
      <c r="AM3" s="10">
        <f t="shared" si="0"/>
        <v>0</v>
      </c>
      <c r="AN3" s="10">
        <f t="shared" si="0"/>
        <v>0</v>
      </c>
      <c r="AO3" s="10">
        <f t="shared" si="0"/>
        <v>0</v>
      </c>
      <c r="AP3" s="10">
        <f t="shared" si="0"/>
        <v>0</v>
      </c>
      <c r="AQ3" s="10">
        <f t="shared" si="0"/>
        <v>0</v>
      </c>
      <c r="AR3" s="10">
        <f t="shared" si="0"/>
        <v>0</v>
      </c>
      <c r="AS3" s="10">
        <f t="shared" si="0"/>
        <v>0</v>
      </c>
      <c r="AT3" s="10">
        <f t="shared" si="0"/>
        <v>0</v>
      </c>
      <c r="AU3" s="10">
        <f t="shared" si="0"/>
        <v>0</v>
      </c>
      <c r="AV3" s="10">
        <f t="shared" si="0"/>
        <v>0</v>
      </c>
      <c r="AW3" s="10">
        <f t="shared" si="0"/>
        <v>0</v>
      </c>
      <c r="AX3" s="10">
        <f t="shared" si="0"/>
        <v>0</v>
      </c>
      <c r="AY3" s="10">
        <f t="shared" si="0"/>
        <v>0</v>
      </c>
      <c r="AZ3" s="10">
        <f t="shared" si="0"/>
        <v>0</v>
      </c>
      <c r="BA3" s="10">
        <f t="shared" si="0"/>
        <v>0</v>
      </c>
      <c r="BB3" s="10">
        <f t="shared" si="0"/>
        <v>0</v>
      </c>
      <c r="BC3" s="10">
        <f t="shared" si="0"/>
        <v>0</v>
      </c>
      <c r="BD3" s="10">
        <f t="shared" si="0"/>
        <v>0</v>
      </c>
      <c r="BE3" s="10">
        <f t="shared" si="0"/>
        <v>0</v>
      </c>
      <c r="BF3" s="10">
        <f t="shared" si="0"/>
        <v>0</v>
      </c>
      <c r="BG3" s="10">
        <f t="shared" si="0"/>
        <v>0</v>
      </c>
      <c r="BH3" s="10">
        <f t="shared" si="0"/>
        <v>0</v>
      </c>
      <c r="BI3" s="10">
        <f t="shared" si="0"/>
        <v>0</v>
      </c>
      <c r="BJ3" s="10">
        <f t="shared" si="0"/>
        <v>0</v>
      </c>
      <c r="BK3" s="10">
        <f t="shared" si="0"/>
        <v>0</v>
      </c>
      <c r="BL3" s="10">
        <f t="shared" si="0"/>
        <v>0</v>
      </c>
      <c r="BM3" s="10">
        <f t="shared" si="0"/>
        <v>0</v>
      </c>
      <c r="BN3" s="10">
        <f t="shared" si="0"/>
        <v>0</v>
      </c>
      <c r="BO3" s="10">
        <f t="shared" ref="BO3:DE3" si="1">SUM(BO4:BO18)</f>
        <v>0</v>
      </c>
      <c r="BP3" s="10">
        <f t="shared" si="1"/>
        <v>0</v>
      </c>
      <c r="BQ3" s="10">
        <f t="shared" si="1"/>
        <v>0</v>
      </c>
      <c r="BR3" s="10">
        <f t="shared" si="1"/>
        <v>0</v>
      </c>
      <c r="BS3" s="10">
        <f t="shared" si="1"/>
        <v>0</v>
      </c>
      <c r="BT3" s="10">
        <f t="shared" si="1"/>
        <v>0</v>
      </c>
      <c r="BU3" s="10">
        <f t="shared" si="1"/>
        <v>0</v>
      </c>
      <c r="BV3" s="10">
        <f t="shared" si="1"/>
        <v>0</v>
      </c>
      <c r="BW3" s="10">
        <f t="shared" si="1"/>
        <v>0</v>
      </c>
      <c r="BX3" s="10">
        <f t="shared" si="1"/>
        <v>0</v>
      </c>
      <c r="BY3" s="10">
        <f t="shared" si="1"/>
        <v>0</v>
      </c>
      <c r="BZ3" s="10">
        <f t="shared" si="1"/>
        <v>0</v>
      </c>
      <c r="CA3" s="10">
        <f t="shared" si="1"/>
        <v>0</v>
      </c>
      <c r="CB3" s="10">
        <f t="shared" si="1"/>
        <v>0</v>
      </c>
      <c r="CC3" s="10">
        <f t="shared" si="1"/>
        <v>0</v>
      </c>
      <c r="CD3" s="10">
        <f t="shared" si="1"/>
        <v>0</v>
      </c>
      <c r="CE3" s="10">
        <f t="shared" si="1"/>
        <v>0</v>
      </c>
      <c r="CF3" s="10">
        <f t="shared" si="1"/>
        <v>0</v>
      </c>
      <c r="CG3" s="10">
        <f t="shared" si="1"/>
        <v>0</v>
      </c>
      <c r="CH3" s="10">
        <f t="shared" si="1"/>
        <v>0</v>
      </c>
      <c r="CI3" s="10">
        <f t="shared" si="1"/>
        <v>0</v>
      </c>
      <c r="CJ3" s="10">
        <f t="shared" si="1"/>
        <v>0</v>
      </c>
      <c r="CK3" s="10">
        <f t="shared" si="1"/>
        <v>0</v>
      </c>
      <c r="CL3" s="10">
        <f t="shared" si="1"/>
        <v>0</v>
      </c>
      <c r="CM3" s="10">
        <f t="shared" si="1"/>
        <v>0</v>
      </c>
      <c r="CN3" s="10">
        <f t="shared" si="1"/>
        <v>0</v>
      </c>
      <c r="CO3" s="10">
        <f t="shared" si="1"/>
        <v>0</v>
      </c>
      <c r="CP3" s="10">
        <f t="shared" si="1"/>
        <v>0</v>
      </c>
      <c r="CQ3" s="10">
        <f t="shared" si="1"/>
        <v>0</v>
      </c>
      <c r="CR3" s="10">
        <f t="shared" si="1"/>
        <v>0</v>
      </c>
      <c r="CS3" s="10">
        <f t="shared" si="1"/>
        <v>0</v>
      </c>
      <c r="CT3" s="10">
        <f t="shared" si="1"/>
        <v>0</v>
      </c>
      <c r="CU3" s="10">
        <f t="shared" si="1"/>
        <v>0</v>
      </c>
      <c r="CV3" s="10">
        <f t="shared" si="1"/>
        <v>0</v>
      </c>
      <c r="CW3" s="10">
        <f t="shared" si="1"/>
        <v>0</v>
      </c>
      <c r="CX3" s="10">
        <f t="shared" si="1"/>
        <v>0</v>
      </c>
      <c r="CY3" s="10">
        <f t="shared" si="1"/>
        <v>0</v>
      </c>
      <c r="CZ3" s="10">
        <f t="shared" si="1"/>
        <v>0</v>
      </c>
      <c r="DA3" s="10">
        <f t="shared" si="1"/>
        <v>0</v>
      </c>
      <c r="DB3" s="10">
        <f t="shared" si="1"/>
        <v>0</v>
      </c>
      <c r="DC3" s="10">
        <f t="shared" si="1"/>
        <v>0</v>
      </c>
      <c r="DD3" s="10">
        <f t="shared" si="1"/>
        <v>0</v>
      </c>
      <c r="DE3" s="10">
        <f t="shared" si="1"/>
        <v>0</v>
      </c>
      <c r="DF3" s="14">
        <f t="shared" ref="DF3:DQ3" si="2">B3+N3+Z3+AL3+AX3</f>
        <v>0</v>
      </c>
      <c r="DG3" s="14">
        <f t="shared" si="2"/>
        <v>0</v>
      </c>
      <c r="DH3" s="14">
        <f t="shared" si="2"/>
        <v>0</v>
      </c>
      <c r="DI3" s="14">
        <f t="shared" si="2"/>
        <v>0</v>
      </c>
      <c r="DJ3" s="14">
        <f t="shared" si="2"/>
        <v>0</v>
      </c>
      <c r="DK3" s="14">
        <f t="shared" si="2"/>
        <v>0</v>
      </c>
      <c r="DL3" s="14">
        <f t="shared" si="2"/>
        <v>0</v>
      </c>
      <c r="DM3" s="14">
        <f t="shared" si="2"/>
        <v>0</v>
      </c>
      <c r="DN3" s="14">
        <f t="shared" si="2"/>
        <v>0</v>
      </c>
      <c r="DO3" s="14">
        <f t="shared" si="2"/>
        <v>0</v>
      </c>
      <c r="DP3" s="14">
        <f t="shared" si="2"/>
        <v>0</v>
      </c>
      <c r="DQ3" s="14">
        <f t="shared" si="2"/>
        <v>0</v>
      </c>
      <c r="DR3" s="14">
        <f>SUM(DF3:DQ3)</f>
        <v>0</v>
      </c>
    </row>
    <row r="4" spans="1:123" x14ac:dyDescent="0.25">
      <c r="A4" t="s">
        <v>21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4">
        <f t="shared" ref="DF4:DF18" si="3">B4+N4+Z4+AL4+AX4</f>
        <v>0</v>
      </c>
      <c r="DG4" s="14">
        <f t="shared" ref="DG4:DG18" si="4">C4+O4+AA4+AM4+AY4</f>
        <v>0</v>
      </c>
      <c r="DH4" s="14">
        <f t="shared" ref="DH4:DH18" si="5">D4+P4+AB4+AN4+AZ4</f>
        <v>0</v>
      </c>
      <c r="DI4" s="14">
        <f t="shared" ref="DI4:DI18" si="6">E4+Q4+AC4+AO4+BA4</f>
        <v>0</v>
      </c>
      <c r="DJ4" s="14">
        <f t="shared" ref="DJ4:DJ18" si="7">F4+R4+AD4+AP4+BB4</f>
        <v>0</v>
      </c>
      <c r="DK4" s="14">
        <f t="shared" ref="DK4:DK18" si="8">G4+S4+AE4+AQ4+BC4</f>
        <v>0</v>
      </c>
      <c r="DL4" s="14">
        <f t="shared" ref="DL4:DL18" si="9">H4+T4+AF4+AR4+BD4</f>
        <v>0</v>
      </c>
      <c r="DM4" s="14">
        <f t="shared" ref="DM4:DM18" si="10">I4+U4+AG4+AS4+BE4</f>
        <v>0</v>
      </c>
      <c r="DN4" s="14">
        <f t="shared" ref="DN4:DN18" si="11">J4+V4+AH4+AT4+BF4</f>
        <v>0</v>
      </c>
      <c r="DO4" s="14">
        <f t="shared" ref="DO4:DO18" si="12">K4+W4+AI4+AU4+BG4</f>
        <v>0</v>
      </c>
      <c r="DP4" s="14">
        <f t="shared" ref="DP4:DP18" si="13">L4+X4+AJ4+AV4+BH4</f>
        <v>0</v>
      </c>
      <c r="DQ4" s="14">
        <f t="shared" ref="DQ4:DQ18" si="14">M4+Y4+AK4+AW4+BI4</f>
        <v>0</v>
      </c>
      <c r="DR4" s="14">
        <f t="shared" ref="DR4:DR18" si="15">SUM(DF4:DQ4)</f>
        <v>0</v>
      </c>
    </row>
    <row r="5" spans="1:123" x14ac:dyDescent="0.25">
      <c r="A5" t="s">
        <v>22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4">
        <f t="shared" si="3"/>
        <v>0</v>
      </c>
      <c r="DG5" s="14">
        <f t="shared" si="4"/>
        <v>0</v>
      </c>
      <c r="DH5" s="14">
        <f t="shared" si="5"/>
        <v>0</v>
      </c>
      <c r="DI5" s="14">
        <f t="shared" si="6"/>
        <v>0</v>
      </c>
      <c r="DJ5" s="14">
        <f t="shared" si="7"/>
        <v>0</v>
      </c>
      <c r="DK5" s="14">
        <f t="shared" si="8"/>
        <v>0</v>
      </c>
      <c r="DL5" s="14">
        <f t="shared" si="9"/>
        <v>0</v>
      </c>
      <c r="DM5" s="14">
        <f t="shared" si="10"/>
        <v>0</v>
      </c>
      <c r="DN5" s="14">
        <f t="shared" si="11"/>
        <v>0</v>
      </c>
      <c r="DO5" s="14">
        <f t="shared" si="12"/>
        <v>0</v>
      </c>
      <c r="DP5" s="14">
        <f t="shared" si="13"/>
        <v>0</v>
      </c>
      <c r="DQ5" s="14">
        <f t="shared" si="14"/>
        <v>0</v>
      </c>
      <c r="DR5" s="14">
        <f t="shared" si="15"/>
        <v>0</v>
      </c>
    </row>
    <row r="6" spans="1:123" x14ac:dyDescent="0.25">
      <c r="A6" t="s">
        <v>23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4">
        <f t="shared" si="3"/>
        <v>0</v>
      </c>
      <c r="DG6" s="14">
        <f t="shared" si="4"/>
        <v>0</v>
      </c>
      <c r="DH6" s="14">
        <f t="shared" si="5"/>
        <v>0</v>
      </c>
      <c r="DI6" s="14">
        <f t="shared" si="6"/>
        <v>0</v>
      </c>
      <c r="DJ6" s="14">
        <f t="shared" si="7"/>
        <v>0</v>
      </c>
      <c r="DK6" s="14">
        <f t="shared" si="8"/>
        <v>0</v>
      </c>
      <c r="DL6" s="14">
        <f t="shared" si="9"/>
        <v>0</v>
      </c>
      <c r="DM6" s="14">
        <f t="shared" si="10"/>
        <v>0</v>
      </c>
      <c r="DN6" s="14">
        <f t="shared" si="11"/>
        <v>0</v>
      </c>
      <c r="DO6" s="14">
        <f t="shared" si="12"/>
        <v>0</v>
      </c>
      <c r="DP6" s="14">
        <f t="shared" si="13"/>
        <v>0</v>
      </c>
      <c r="DQ6" s="14">
        <f t="shared" si="14"/>
        <v>0</v>
      </c>
      <c r="DR6" s="14">
        <f t="shared" si="15"/>
        <v>0</v>
      </c>
    </row>
    <row r="7" spans="1:123" x14ac:dyDescent="0.25">
      <c r="A7" t="s">
        <v>59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4">
        <f t="shared" si="3"/>
        <v>0</v>
      </c>
      <c r="DG7" s="14">
        <f t="shared" si="4"/>
        <v>0</v>
      </c>
      <c r="DH7" s="14">
        <f t="shared" si="5"/>
        <v>0</v>
      </c>
      <c r="DI7" s="14">
        <f t="shared" si="6"/>
        <v>0</v>
      </c>
      <c r="DJ7" s="14">
        <f t="shared" si="7"/>
        <v>0</v>
      </c>
      <c r="DK7" s="14">
        <f t="shared" si="8"/>
        <v>0</v>
      </c>
      <c r="DL7" s="14">
        <f t="shared" si="9"/>
        <v>0</v>
      </c>
      <c r="DM7" s="14">
        <f t="shared" si="10"/>
        <v>0</v>
      </c>
      <c r="DN7" s="14">
        <f t="shared" si="11"/>
        <v>0</v>
      </c>
      <c r="DO7" s="14">
        <f t="shared" si="12"/>
        <v>0</v>
      </c>
      <c r="DP7" s="14">
        <f t="shared" si="13"/>
        <v>0</v>
      </c>
      <c r="DQ7" s="14">
        <f t="shared" si="14"/>
        <v>0</v>
      </c>
      <c r="DR7" s="14">
        <f t="shared" si="15"/>
        <v>0</v>
      </c>
    </row>
    <row r="8" spans="1:123" x14ac:dyDescent="0.25">
      <c r="A8" t="s">
        <v>30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4">
        <f t="shared" si="3"/>
        <v>0</v>
      </c>
      <c r="DG8" s="14">
        <f t="shared" si="4"/>
        <v>0</v>
      </c>
      <c r="DH8" s="14">
        <f t="shared" si="5"/>
        <v>0</v>
      </c>
      <c r="DI8" s="14">
        <f t="shared" si="6"/>
        <v>0</v>
      </c>
      <c r="DJ8" s="14">
        <f t="shared" si="7"/>
        <v>0</v>
      </c>
      <c r="DK8" s="14">
        <f t="shared" si="8"/>
        <v>0</v>
      </c>
      <c r="DL8" s="14">
        <f t="shared" si="9"/>
        <v>0</v>
      </c>
      <c r="DM8" s="14">
        <f t="shared" si="10"/>
        <v>0</v>
      </c>
      <c r="DN8" s="14">
        <f t="shared" si="11"/>
        <v>0</v>
      </c>
      <c r="DO8" s="14">
        <f t="shared" si="12"/>
        <v>0</v>
      </c>
      <c r="DP8" s="14">
        <f t="shared" si="13"/>
        <v>0</v>
      </c>
      <c r="DQ8" s="14">
        <f t="shared" si="14"/>
        <v>0</v>
      </c>
      <c r="DR8" s="14">
        <f t="shared" si="15"/>
        <v>0</v>
      </c>
    </row>
    <row r="9" spans="1:123" x14ac:dyDescent="0.25">
      <c r="A9" t="s">
        <v>24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4">
        <f t="shared" si="3"/>
        <v>0</v>
      </c>
      <c r="DG9" s="14">
        <f t="shared" si="4"/>
        <v>0</v>
      </c>
      <c r="DH9" s="14">
        <f t="shared" si="5"/>
        <v>0</v>
      </c>
      <c r="DI9" s="14">
        <f t="shared" si="6"/>
        <v>0</v>
      </c>
      <c r="DJ9" s="14">
        <f t="shared" si="7"/>
        <v>0</v>
      </c>
      <c r="DK9" s="14">
        <f t="shared" si="8"/>
        <v>0</v>
      </c>
      <c r="DL9" s="14">
        <f t="shared" si="9"/>
        <v>0</v>
      </c>
      <c r="DM9" s="14">
        <f t="shared" si="10"/>
        <v>0</v>
      </c>
      <c r="DN9" s="14">
        <f t="shared" si="11"/>
        <v>0</v>
      </c>
      <c r="DO9" s="14">
        <f t="shared" si="12"/>
        <v>0</v>
      </c>
      <c r="DP9" s="14">
        <f t="shared" si="13"/>
        <v>0</v>
      </c>
      <c r="DQ9" s="14">
        <f t="shared" si="14"/>
        <v>0</v>
      </c>
      <c r="DR9" s="14">
        <f t="shared" si="15"/>
        <v>0</v>
      </c>
    </row>
    <row r="10" spans="1:123" x14ac:dyDescent="0.25">
      <c r="A10" t="s">
        <v>25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4">
        <f t="shared" si="3"/>
        <v>0</v>
      </c>
      <c r="DG10" s="14">
        <f t="shared" si="4"/>
        <v>0</v>
      </c>
      <c r="DH10" s="14">
        <f t="shared" si="5"/>
        <v>0</v>
      </c>
      <c r="DI10" s="14">
        <f t="shared" si="6"/>
        <v>0</v>
      </c>
      <c r="DJ10" s="14">
        <f t="shared" si="7"/>
        <v>0</v>
      </c>
      <c r="DK10" s="14">
        <f t="shared" si="8"/>
        <v>0</v>
      </c>
      <c r="DL10" s="14">
        <f t="shared" si="9"/>
        <v>0</v>
      </c>
      <c r="DM10" s="14">
        <f t="shared" si="10"/>
        <v>0</v>
      </c>
      <c r="DN10" s="14">
        <f t="shared" si="11"/>
        <v>0</v>
      </c>
      <c r="DO10" s="14">
        <f t="shared" si="12"/>
        <v>0</v>
      </c>
      <c r="DP10" s="14">
        <f t="shared" si="13"/>
        <v>0</v>
      </c>
      <c r="DQ10" s="14">
        <f t="shared" si="14"/>
        <v>0</v>
      </c>
      <c r="DR10" s="14">
        <f t="shared" si="15"/>
        <v>0</v>
      </c>
    </row>
    <row r="11" spans="1:123" x14ac:dyDescent="0.25">
      <c r="A11" t="s">
        <v>26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4">
        <f t="shared" si="3"/>
        <v>0</v>
      </c>
      <c r="DG11" s="14">
        <f t="shared" si="4"/>
        <v>0</v>
      </c>
      <c r="DH11" s="14">
        <f t="shared" si="5"/>
        <v>0</v>
      </c>
      <c r="DI11" s="14">
        <f t="shared" si="6"/>
        <v>0</v>
      </c>
      <c r="DJ11" s="14">
        <f t="shared" si="7"/>
        <v>0</v>
      </c>
      <c r="DK11" s="14">
        <f t="shared" si="8"/>
        <v>0</v>
      </c>
      <c r="DL11" s="14">
        <f t="shared" si="9"/>
        <v>0</v>
      </c>
      <c r="DM11" s="14">
        <f t="shared" si="10"/>
        <v>0</v>
      </c>
      <c r="DN11" s="14">
        <f t="shared" si="11"/>
        <v>0</v>
      </c>
      <c r="DO11" s="14">
        <f t="shared" si="12"/>
        <v>0</v>
      </c>
      <c r="DP11" s="14">
        <f t="shared" si="13"/>
        <v>0</v>
      </c>
      <c r="DQ11" s="14">
        <f t="shared" si="14"/>
        <v>0</v>
      </c>
      <c r="DR11" s="14">
        <f t="shared" si="15"/>
        <v>0</v>
      </c>
    </row>
    <row r="12" spans="1:123" x14ac:dyDescent="0.25">
      <c r="A12" t="s">
        <v>27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4">
        <f t="shared" si="3"/>
        <v>0</v>
      </c>
      <c r="DG12" s="14">
        <f t="shared" si="4"/>
        <v>0</v>
      </c>
      <c r="DH12" s="14">
        <f t="shared" si="5"/>
        <v>0</v>
      </c>
      <c r="DI12" s="14">
        <f t="shared" si="6"/>
        <v>0</v>
      </c>
      <c r="DJ12" s="14">
        <f t="shared" si="7"/>
        <v>0</v>
      </c>
      <c r="DK12" s="14">
        <f t="shared" si="8"/>
        <v>0</v>
      </c>
      <c r="DL12" s="14">
        <f t="shared" si="9"/>
        <v>0</v>
      </c>
      <c r="DM12" s="14">
        <f t="shared" si="10"/>
        <v>0</v>
      </c>
      <c r="DN12" s="14">
        <f t="shared" si="11"/>
        <v>0</v>
      </c>
      <c r="DO12" s="14">
        <f t="shared" si="12"/>
        <v>0</v>
      </c>
      <c r="DP12" s="14">
        <f t="shared" si="13"/>
        <v>0</v>
      </c>
      <c r="DQ12" s="14">
        <f t="shared" si="14"/>
        <v>0</v>
      </c>
      <c r="DR12" s="14">
        <f t="shared" si="15"/>
        <v>0</v>
      </c>
    </row>
    <row r="13" spans="1:123" x14ac:dyDescent="0.25">
      <c r="A13" t="s">
        <v>31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4">
        <f t="shared" si="3"/>
        <v>0</v>
      </c>
      <c r="DG13" s="14">
        <f t="shared" si="4"/>
        <v>0</v>
      </c>
      <c r="DH13" s="14">
        <f t="shared" si="5"/>
        <v>0</v>
      </c>
      <c r="DI13" s="14">
        <f t="shared" si="6"/>
        <v>0</v>
      </c>
      <c r="DJ13" s="14">
        <f t="shared" si="7"/>
        <v>0</v>
      </c>
      <c r="DK13" s="14">
        <f t="shared" si="8"/>
        <v>0</v>
      </c>
      <c r="DL13" s="14">
        <f t="shared" si="9"/>
        <v>0</v>
      </c>
      <c r="DM13" s="14">
        <f t="shared" si="10"/>
        <v>0</v>
      </c>
      <c r="DN13" s="14">
        <f t="shared" si="11"/>
        <v>0</v>
      </c>
      <c r="DO13" s="14">
        <f t="shared" si="12"/>
        <v>0</v>
      </c>
      <c r="DP13" s="14">
        <f t="shared" si="13"/>
        <v>0</v>
      </c>
      <c r="DQ13" s="14">
        <f t="shared" si="14"/>
        <v>0</v>
      </c>
      <c r="DR13" s="14">
        <f t="shared" si="15"/>
        <v>0</v>
      </c>
    </row>
    <row r="14" spans="1:123" x14ac:dyDescent="0.25">
      <c r="A14" t="s">
        <v>32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4">
        <f t="shared" si="3"/>
        <v>0</v>
      </c>
      <c r="DG14" s="14">
        <f t="shared" si="4"/>
        <v>0</v>
      </c>
      <c r="DH14" s="14">
        <f t="shared" si="5"/>
        <v>0</v>
      </c>
      <c r="DI14" s="14">
        <f t="shared" si="6"/>
        <v>0</v>
      </c>
      <c r="DJ14" s="14">
        <f t="shared" si="7"/>
        <v>0</v>
      </c>
      <c r="DK14" s="14">
        <f t="shared" si="8"/>
        <v>0</v>
      </c>
      <c r="DL14" s="14">
        <f t="shared" si="9"/>
        <v>0</v>
      </c>
      <c r="DM14" s="14">
        <f t="shared" si="10"/>
        <v>0</v>
      </c>
      <c r="DN14" s="14">
        <f t="shared" si="11"/>
        <v>0</v>
      </c>
      <c r="DO14" s="14">
        <f t="shared" si="12"/>
        <v>0</v>
      </c>
      <c r="DP14" s="14">
        <f t="shared" si="13"/>
        <v>0</v>
      </c>
      <c r="DQ14" s="14">
        <f t="shared" si="14"/>
        <v>0</v>
      </c>
      <c r="DR14" s="14">
        <f t="shared" si="15"/>
        <v>0</v>
      </c>
    </row>
    <row r="15" spans="1:123" x14ac:dyDescent="0.25">
      <c r="A15" t="s">
        <v>28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4">
        <f t="shared" si="3"/>
        <v>0</v>
      </c>
      <c r="DG15" s="14">
        <f t="shared" si="4"/>
        <v>0</v>
      </c>
      <c r="DH15" s="14">
        <f t="shared" si="5"/>
        <v>0</v>
      </c>
      <c r="DI15" s="14">
        <f t="shared" si="6"/>
        <v>0</v>
      </c>
      <c r="DJ15" s="14">
        <f t="shared" si="7"/>
        <v>0</v>
      </c>
      <c r="DK15" s="14">
        <f t="shared" si="8"/>
        <v>0</v>
      </c>
      <c r="DL15" s="14">
        <f t="shared" si="9"/>
        <v>0</v>
      </c>
      <c r="DM15" s="14">
        <f t="shared" si="10"/>
        <v>0</v>
      </c>
      <c r="DN15" s="14">
        <f t="shared" si="11"/>
        <v>0</v>
      </c>
      <c r="DO15" s="14">
        <f t="shared" si="12"/>
        <v>0</v>
      </c>
      <c r="DP15" s="14">
        <f t="shared" si="13"/>
        <v>0</v>
      </c>
      <c r="DQ15" s="14">
        <f t="shared" si="14"/>
        <v>0</v>
      </c>
      <c r="DR15" s="14">
        <f t="shared" si="15"/>
        <v>0</v>
      </c>
    </row>
    <row r="16" spans="1:123" x14ac:dyDescent="0.25">
      <c r="A16" t="s">
        <v>29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4">
        <f t="shared" si="3"/>
        <v>0</v>
      </c>
      <c r="DG16" s="14">
        <f t="shared" si="4"/>
        <v>0</v>
      </c>
      <c r="DH16" s="14">
        <f t="shared" si="5"/>
        <v>0</v>
      </c>
      <c r="DI16" s="14">
        <f t="shared" si="6"/>
        <v>0</v>
      </c>
      <c r="DJ16" s="14">
        <f t="shared" si="7"/>
        <v>0</v>
      </c>
      <c r="DK16" s="14">
        <f t="shared" si="8"/>
        <v>0</v>
      </c>
      <c r="DL16" s="14">
        <f t="shared" si="9"/>
        <v>0</v>
      </c>
      <c r="DM16" s="14">
        <f t="shared" si="10"/>
        <v>0</v>
      </c>
      <c r="DN16" s="14">
        <f t="shared" si="11"/>
        <v>0</v>
      </c>
      <c r="DO16" s="14">
        <f t="shared" si="12"/>
        <v>0</v>
      </c>
      <c r="DP16" s="14">
        <f t="shared" si="13"/>
        <v>0</v>
      </c>
      <c r="DQ16" s="14">
        <f t="shared" si="14"/>
        <v>0</v>
      </c>
      <c r="DR16" s="14">
        <f t="shared" si="15"/>
        <v>0</v>
      </c>
    </row>
    <row r="17" spans="1:122" x14ac:dyDescent="0.25">
      <c r="A17" t="s">
        <v>33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4">
        <f t="shared" si="3"/>
        <v>0</v>
      </c>
      <c r="DG17" s="14">
        <f t="shared" si="4"/>
        <v>0</v>
      </c>
      <c r="DH17" s="14">
        <f t="shared" si="5"/>
        <v>0</v>
      </c>
      <c r="DI17" s="14">
        <f t="shared" si="6"/>
        <v>0</v>
      </c>
      <c r="DJ17" s="14">
        <f t="shared" si="7"/>
        <v>0</v>
      </c>
      <c r="DK17" s="14">
        <f t="shared" si="8"/>
        <v>0</v>
      </c>
      <c r="DL17" s="14">
        <f t="shared" si="9"/>
        <v>0</v>
      </c>
      <c r="DM17" s="14">
        <f t="shared" si="10"/>
        <v>0</v>
      </c>
      <c r="DN17" s="14">
        <f t="shared" si="11"/>
        <v>0</v>
      </c>
      <c r="DO17" s="14">
        <f t="shared" si="12"/>
        <v>0</v>
      </c>
      <c r="DP17" s="14">
        <f t="shared" si="13"/>
        <v>0</v>
      </c>
      <c r="DQ17" s="14">
        <f t="shared" si="14"/>
        <v>0</v>
      </c>
      <c r="DR17" s="14">
        <f t="shared" si="15"/>
        <v>0</v>
      </c>
    </row>
    <row r="18" spans="1:122" x14ac:dyDescent="0.25">
      <c r="A18" t="s">
        <v>34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4">
        <f t="shared" si="3"/>
        <v>0</v>
      </c>
      <c r="DG18" s="14">
        <f t="shared" si="4"/>
        <v>0</v>
      </c>
      <c r="DH18" s="14">
        <f t="shared" si="5"/>
        <v>0</v>
      </c>
      <c r="DI18" s="14">
        <f t="shared" si="6"/>
        <v>0</v>
      </c>
      <c r="DJ18" s="14">
        <f t="shared" si="7"/>
        <v>0</v>
      </c>
      <c r="DK18" s="14">
        <f t="shared" si="8"/>
        <v>0</v>
      </c>
      <c r="DL18" s="14">
        <f t="shared" si="9"/>
        <v>0</v>
      </c>
      <c r="DM18" s="14">
        <f t="shared" si="10"/>
        <v>0</v>
      </c>
      <c r="DN18" s="14">
        <f t="shared" si="11"/>
        <v>0</v>
      </c>
      <c r="DO18" s="14">
        <f t="shared" si="12"/>
        <v>0</v>
      </c>
      <c r="DP18" s="14">
        <f t="shared" si="13"/>
        <v>0</v>
      </c>
      <c r="DQ18" s="14">
        <f t="shared" si="14"/>
        <v>0</v>
      </c>
      <c r="DR18" s="14">
        <f t="shared" si="15"/>
        <v>0</v>
      </c>
    </row>
    <row r="19" spans="1:122" x14ac:dyDescent="0.25">
      <c r="Z19" s="13"/>
    </row>
  </sheetData>
  <mergeCells count="12">
    <mergeCell ref="A1:A2"/>
    <mergeCell ref="AL1:AW1"/>
    <mergeCell ref="DF1:DP1"/>
    <mergeCell ref="DQ1:DS1"/>
    <mergeCell ref="N1:Y1"/>
    <mergeCell ref="Z1:AJ1"/>
    <mergeCell ref="B1:M1"/>
    <mergeCell ref="AX1:BI1"/>
    <mergeCell ref="BJ1:BU1"/>
    <mergeCell ref="BV1:CG1"/>
    <mergeCell ref="CH1:CS1"/>
    <mergeCell ref="CT1:DE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01FEA-FD33-4BAD-BA42-88714AD831B6}">
  <sheetPr codeName="Planilha6"/>
  <dimension ref="A1:DS19"/>
  <sheetViews>
    <sheetView zoomScaleNormal="100" workbookViewId="0">
      <selection activeCell="A11" sqref="A11"/>
    </sheetView>
  </sheetViews>
  <sheetFormatPr defaultRowHeight="15" x14ac:dyDescent="0.25"/>
  <cols>
    <col min="1" max="1" width="71.5703125" bestFit="1" customWidth="1"/>
    <col min="2" max="2" width="17.28515625" bestFit="1" customWidth="1"/>
    <col min="3" max="3" width="4" bestFit="1" customWidth="1"/>
    <col min="4" max="4" width="5.28515625" bestFit="1" customWidth="1"/>
    <col min="5" max="5" width="6.140625" bestFit="1" customWidth="1"/>
    <col min="6" max="6" width="3.85546875" bestFit="1" customWidth="1"/>
    <col min="7" max="7" width="4.28515625" bestFit="1" customWidth="1"/>
    <col min="8" max="13" width="4.28515625" customWidth="1"/>
    <col min="14" max="14" width="4.42578125" bestFit="1" customWidth="1"/>
    <col min="15" max="15" width="5" bestFit="1" customWidth="1"/>
    <col min="16" max="16" width="4.140625" bestFit="1" customWidth="1"/>
    <col min="17" max="17" width="5.28515625" bestFit="1" customWidth="1"/>
    <col min="18" max="18" width="3.85546875" bestFit="1" customWidth="1"/>
    <col min="19" max="19" width="5.28515625" bestFit="1" customWidth="1"/>
    <col min="20" max="26" width="5.28515625" customWidth="1"/>
    <col min="27" max="50" width="5.7109375" customWidth="1"/>
    <col min="51" max="51" width="4.28515625" customWidth="1"/>
    <col min="52" max="52" width="5.5703125" customWidth="1"/>
    <col min="53" max="53" width="4.140625" customWidth="1"/>
    <col min="54" max="54" width="5.28515625" customWidth="1"/>
    <col min="55" max="55" width="4" customWidth="1"/>
    <col min="56" max="56" width="5" customWidth="1"/>
    <col min="57" max="57" width="4.42578125" customWidth="1"/>
    <col min="58" max="58" width="6.140625" customWidth="1"/>
    <col min="59" max="59" width="3.85546875" customWidth="1"/>
    <col min="60" max="61" width="5.28515625" customWidth="1"/>
    <col min="62" max="63" width="6.7109375" customWidth="1"/>
  </cols>
  <sheetData>
    <row r="1" spans="1:123" x14ac:dyDescent="0.25">
      <c r="A1" s="21" t="s">
        <v>57</v>
      </c>
      <c r="B1" s="28" t="s">
        <v>62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  <c r="N1" s="23" t="s">
        <v>61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7"/>
      <c r="Z1" s="28" t="s">
        <v>63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58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5"/>
      <c r="AX1" s="23" t="s">
        <v>69</v>
      </c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5"/>
      <c r="BJ1" s="23" t="s">
        <v>70</v>
      </c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5"/>
      <c r="BV1" s="23" t="s">
        <v>71</v>
      </c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5"/>
      <c r="CH1" s="23" t="s">
        <v>72</v>
      </c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5"/>
      <c r="CT1" s="23" t="s">
        <v>73</v>
      </c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5"/>
      <c r="DF1" s="23" t="s">
        <v>17</v>
      </c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6"/>
      <c r="DR1" s="26"/>
      <c r="DS1" s="26"/>
    </row>
    <row r="2" spans="1:12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0" t="s">
        <v>39</v>
      </c>
      <c r="AY2" s="10" t="s">
        <v>40</v>
      </c>
      <c r="AZ2" s="10" t="s">
        <v>44</v>
      </c>
      <c r="BA2" s="10" t="s">
        <v>20</v>
      </c>
      <c r="BB2" s="10" t="s">
        <v>45</v>
      </c>
      <c r="BC2" s="10" t="s">
        <v>42</v>
      </c>
      <c r="BD2" s="10" t="s">
        <v>43</v>
      </c>
      <c r="BE2" s="10" t="s">
        <v>36</v>
      </c>
      <c r="BF2" s="10" t="s">
        <v>46</v>
      </c>
      <c r="BG2" s="10" t="s">
        <v>38</v>
      </c>
      <c r="BH2" s="10" t="s">
        <v>41</v>
      </c>
      <c r="BI2" s="10" t="s">
        <v>37</v>
      </c>
      <c r="BJ2" s="10" t="s">
        <v>39</v>
      </c>
      <c r="BK2" s="10" t="s">
        <v>40</v>
      </c>
      <c r="BL2" s="10" t="s">
        <v>44</v>
      </c>
      <c r="BM2" s="10" t="s">
        <v>20</v>
      </c>
      <c r="BN2" s="10" t="s">
        <v>45</v>
      </c>
      <c r="BO2" s="10" t="s">
        <v>42</v>
      </c>
      <c r="BP2" s="10" t="s">
        <v>43</v>
      </c>
      <c r="BQ2" s="10" t="s">
        <v>36</v>
      </c>
      <c r="BR2" s="10" t="s">
        <v>46</v>
      </c>
      <c r="BS2" s="10" t="s">
        <v>38</v>
      </c>
      <c r="BT2" s="10" t="s">
        <v>41</v>
      </c>
      <c r="BU2" s="10" t="s">
        <v>37</v>
      </c>
      <c r="BV2" s="10" t="s">
        <v>39</v>
      </c>
      <c r="BW2" s="10" t="s">
        <v>40</v>
      </c>
      <c r="BX2" s="10" t="s">
        <v>44</v>
      </c>
      <c r="BY2" s="10" t="s">
        <v>20</v>
      </c>
      <c r="BZ2" s="10" t="s">
        <v>45</v>
      </c>
      <c r="CA2" s="10" t="s">
        <v>42</v>
      </c>
      <c r="CB2" s="10" t="s">
        <v>43</v>
      </c>
      <c r="CC2" s="10" t="s">
        <v>36</v>
      </c>
      <c r="CD2" s="10" t="s">
        <v>46</v>
      </c>
      <c r="CE2" s="10" t="s">
        <v>38</v>
      </c>
      <c r="CF2" s="10" t="s">
        <v>41</v>
      </c>
      <c r="CG2" s="10" t="s">
        <v>37</v>
      </c>
      <c r="CH2" s="10" t="s">
        <v>39</v>
      </c>
      <c r="CI2" s="10" t="s">
        <v>40</v>
      </c>
      <c r="CJ2" s="10" t="s">
        <v>44</v>
      </c>
      <c r="CK2" s="10" t="s">
        <v>20</v>
      </c>
      <c r="CL2" s="10" t="s">
        <v>45</v>
      </c>
      <c r="CM2" s="10" t="s">
        <v>42</v>
      </c>
      <c r="CN2" s="10" t="s">
        <v>43</v>
      </c>
      <c r="CO2" s="10" t="s">
        <v>36</v>
      </c>
      <c r="CP2" s="10" t="s">
        <v>46</v>
      </c>
      <c r="CQ2" s="10" t="s">
        <v>38</v>
      </c>
      <c r="CR2" s="10" t="s">
        <v>41</v>
      </c>
      <c r="CS2" s="10" t="s">
        <v>37</v>
      </c>
      <c r="CT2" s="10" t="s">
        <v>39</v>
      </c>
      <c r="CU2" s="10" t="s">
        <v>40</v>
      </c>
      <c r="CV2" s="10" t="s">
        <v>44</v>
      </c>
      <c r="CW2" s="10" t="s">
        <v>20</v>
      </c>
      <c r="CX2" s="10" t="s">
        <v>45</v>
      </c>
      <c r="CY2" s="10" t="s">
        <v>42</v>
      </c>
      <c r="CZ2" s="10" t="s">
        <v>43</v>
      </c>
      <c r="DA2" s="10" t="s">
        <v>36</v>
      </c>
      <c r="DB2" s="10" t="s">
        <v>46</v>
      </c>
      <c r="DC2" s="10" t="s">
        <v>38</v>
      </c>
      <c r="DD2" s="10" t="s">
        <v>41</v>
      </c>
      <c r="DE2" s="10" t="s">
        <v>37</v>
      </c>
      <c r="DF2" s="15" t="s">
        <v>39</v>
      </c>
      <c r="DG2" s="15" t="s">
        <v>40</v>
      </c>
      <c r="DH2" s="15" t="s">
        <v>44</v>
      </c>
      <c r="DI2" s="15" t="s">
        <v>20</v>
      </c>
      <c r="DJ2" s="15" t="s">
        <v>45</v>
      </c>
      <c r="DK2" s="15" t="s">
        <v>42</v>
      </c>
      <c r="DL2" s="15" t="s">
        <v>43</v>
      </c>
      <c r="DM2" s="15" t="s">
        <v>36</v>
      </c>
      <c r="DN2" s="15" t="s">
        <v>46</v>
      </c>
      <c r="DO2" s="15" t="s">
        <v>38</v>
      </c>
      <c r="DP2" s="15" t="s">
        <v>41</v>
      </c>
      <c r="DQ2" s="15" t="s">
        <v>37</v>
      </c>
      <c r="DR2" s="16" t="s">
        <v>17</v>
      </c>
    </row>
    <row r="3" spans="1:123" x14ac:dyDescent="0.25">
      <c r="A3" s="12" t="s">
        <v>17</v>
      </c>
      <c r="B3" s="10">
        <f>SUM(B4:B18)</f>
        <v>0</v>
      </c>
      <c r="C3" s="10">
        <f t="shared" ref="C3:BN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0">
        <f t="shared" si="0"/>
        <v>0</v>
      </c>
      <c r="O3" s="10">
        <f t="shared" si="0"/>
        <v>0</v>
      </c>
      <c r="P3" s="10">
        <f t="shared" si="0"/>
        <v>0</v>
      </c>
      <c r="Q3" s="10">
        <f t="shared" si="0"/>
        <v>0</v>
      </c>
      <c r="R3" s="10">
        <f t="shared" si="0"/>
        <v>0</v>
      </c>
      <c r="S3" s="10">
        <f t="shared" si="0"/>
        <v>0</v>
      </c>
      <c r="T3" s="10">
        <f t="shared" si="0"/>
        <v>0</v>
      </c>
      <c r="U3" s="10">
        <f t="shared" si="0"/>
        <v>0</v>
      </c>
      <c r="V3" s="10">
        <f t="shared" si="0"/>
        <v>0</v>
      </c>
      <c r="W3" s="10">
        <f t="shared" si="0"/>
        <v>0</v>
      </c>
      <c r="X3" s="10">
        <f t="shared" si="0"/>
        <v>0</v>
      </c>
      <c r="Y3" s="10">
        <f t="shared" si="0"/>
        <v>0</v>
      </c>
      <c r="Z3" s="10">
        <f t="shared" si="0"/>
        <v>0</v>
      </c>
      <c r="AA3" s="10">
        <f t="shared" si="0"/>
        <v>0</v>
      </c>
      <c r="AB3" s="10">
        <f t="shared" si="0"/>
        <v>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0</v>
      </c>
      <c r="AH3" s="10">
        <f t="shared" si="0"/>
        <v>0</v>
      </c>
      <c r="AI3" s="10">
        <f t="shared" si="0"/>
        <v>0</v>
      </c>
      <c r="AJ3" s="10">
        <f t="shared" si="0"/>
        <v>0</v>
      </c>
      <c r="AK3" s="10">
        <f t="shared" si="0"/>
        <v>0</v>
      </c>
      <c r="AL3" s="10">
        <f t="shared" si="0"/>
        <v>0</v>
      </c>
      <c r="AM3" s="10">
        <f t="shared" si="0"/>
        <v>0</v>
      </c>
      <c r="AN3" s="10">
        <f t="shared" si="0"/>
        <v>0</v>
      </c>
      <c r="AO3" s="10">
        <f t="shared" si="0"/>
        <v>0</v>
      </c>
      <c r="AP3" s="10">
        <f t="shared" si="0"/>
        <v>0</v>
      </c>
      <c r="AQ3" s="10">
        <f t="shared" si="0"/>
        <v>0</v>
      </c>
      <c r="AR3" s="10">
        <f t="shared" si="0"/>
        <v>0</v>
      </c>
      <c r="AS3" s="10">
        <f t="shared" si="0"/>
        <v>0</v>
      </c>
      <c r="AT3" s="10">
        <f t="shared" si="0"/>
        <v>0</v>
      </c>
      <c r="AU3" s="10">
        <f t="shared" si="0"/>
        <v>0</v>
      </c>
      <c r="AV3" s="10">
        <f t="shared" si="0"/>
        <v>0</v>
      </c>
      <c r="AW3" s="10">
        <f t="shared" si="0"/>
        <v>0</v>
      </c>
      <c r="AX3" s="10">
        <f t="shared" si="0"/>
        <v>0</v>
      </c>
      <c r="AY3" s="10">
        <f t="shared" si="0"/>
        <v>0</v>
      </c>
      <c r="AZ3" s="10">
        <f t="shared" si="0"/>
        <v>0</v>
      </c>
      <c r="BA3" s="10">
        <f t="shared" si="0"/>
        <v>0</v>
      </c>
      <c r="BB3" s="10">
        <f t="shared" si="0"/>
        <v>0</v>
      </c>
      <c r="BC3" s="10">
        <f t="shared" si="0"/>
        <v>0</v>
      </c>
      <c r="BD3" s="10">
        <f t="shared" si="0"/>
        <v>0</v>
      </c>
      <c r="BE3" s="10">
        <f t="shared" si="0"/>
        <v>0</v>
      </c>
      <c r="BF3" s="10">
        <f t="shared" si="0"/>
        <v>0</v>
      </c>
      <c r="BG3" s="10">
        <f t="shared" si="0"/>
        <v>0</v>
      </c>
      <c r="BH3" s="10">
        <f t="shared" si="0"/>
        <v>0</v>
      </c>
      <c r="BI3" s="10">
        <f t="shared" si="0"/>
        <v>0</v>
      </c>
      <c r="BJ3" s="10">
        <f t="shared" si="0"/>
        <v>0</v>
      </c>
      <c r="BK3" s="10">
        <f t="shared" si="0"/>
        <v>0</v>
      </c>
      <c r="BL3" s="10">
        <f t="shared" si="0"/>
        <v>0</v>
      </c>
      <c r="BM3" s="10">
        <f t="shared" si="0"/>
        <v>0</v>
      </c>
      <c r="BN3" s="10">
        <f t="shared" si="0"/>
        <v>0</v>
      </c>
      <c r="BO3" s="10">
        <f t="shared" ref="BO3:DE3" si="1">SUM(BO4:BO18)</f>
        <v>0</v>
      </c>
      <c r="BP3" s="10">
        <f t="shared" si="1"/>
        <v>0</v>
      </c>
      <c r="BQ3" s="10">
        <f t="shared" si="1"/>
        <v>0</v>
      </c>
      <c r="BR3" s="10">
        <f t="shared" si="1"/>
        <v>0</v>
      </c>
      <c r="BS3" s="10">
        <f t="shared" si="1"/>
        <v>0</v>
      </c>
      <c r="BT3" s="10">
        <f t="shared" si="1"/>
        <v>0</v>
      </c>
      <c r="BU3" s="10">
        <f t="shared" si="1"/>
        <v>0</v>
      </c>
      <c r="BV3" s="10">
        <f t="shared" si="1"/>
        <v>0</v>
      </c>
      <c r="BW3" s="10">
        <f t="shared" si="1"/>
        <v>0</v>
      </c>
      <c r="BX3" s="10">
        <f t="shared" si="1"/>
        <v>0</v>
      </c>
      <c r="BY3" s="10">
        <f t="shared" si="1"/>
        <v>0</v>
      </c>
      <c r="BZ3" s="10">
        <f t="shared" si="1"/>
        <v>0</v>
      </c>
      <c r="CA3" s="10">
        <f t="shared" si="1"/>
        <v>0</v>
      </c>
      <c r="CB3" s="10">
        <f t="shared" si="1"/>
        <v>0</v>
      </c>
      <c r="CC3" s="10">
        <f t="shared" si="1"/>
        <v>0</v>
      </c>
      <c r="CD3" s="10">
        <f t="shared" si="1"/>
        <v>0</v>
      </c>
      <c r="CE3" s="10">
        <f t="shared" si="1"/>
        <v>0</v>
      </c>
      <c r="CF3" s="10">
        <f t="shared" si="1"/>
        <v>0</v>
      </c>
      <c r="CG3" s="10">
        <f t="shared" si="1"/>
        <v>0</v>
      </c>
      <c r="CH3" s="10">
        <f t="shared" si="1"/>
        <v>0</v>
      </c>
      <c r="CI3" s="10">
        <f t="shared" si="1"/>
        <v>0</v>
      </c>
      <c r="CJ3" s="10">
        <f t="shared" si="1"/>
        <v>0</v>
      </c>
      <c r="CK3" s="10">
        <f t="shared" si="1"/>
        <v>0</v>
      </c>
      <c r="CL3" s="10">
        <f t="shared" si="1"/>
        <v>0</v>
      </c>
      <c r="CM3" s="10">
        <f t="shared" si="1"/>
        <v>0</v>
      </c>
      <c r="CN3" s="10">
        <f t="shared" si="1"/>
        <v>0</v>
      </c>
      <c r="CO3" s="10">
        <f t="shared" si="1"/>
        <v>0</v>
      </c>
      <c r="CP3" s="10">
        <f t="shared" si="1"/>
        <v>0</v>
      </c>
      <c r="CQ3" s="10">
        <f t="shared" si="1"/>
        <v>0</v>
      </c>
      <c r="CR3" s="10">
        <f t="shared" si="1"/>
        <v>0</v>
      </c>
      <c r="CS3" s="10">
        <f t="shared" si="1"/>
        <v>0</v>
      </c>
      <c r="CT3" s="10">
        <f t="shared" si="1"/>
        <v>0</v>
      </c>
      <c r="CU3" s="10">
        <f t="shared" si="1"/>
        <v>0</v>
      </c>
      <c r="CV3" s="10">
        <f t="shared" si="1"/>
        <v>0</v>
      </c>
      <c r="CW3" s="10">
        <f t="shared" si="1"/>
        <v>0</v>
      </c>
      <c r="CX3" s="10">
        <f t="shared" si="1"/>
        <v>0</v>
      </c>
      <c r="CY3" s="10">
        <f t="shared" si="1"/>
        <v>0</v>
      </c>
      <c r="CZ3" s="10">
        <f t="shared" si="1"/>
        <v>0</v>
      </c>
      <c r="DA3" s="10">
        <f t="shared" si="1"/>
        <v>0</v>
      </c>
      <c r="DB3" s="10">
        <f t="shared" si="1"/>
        <v>0</v>
      </c>
      <c r="DC3" s="10">
        <f t="shared" si="1"/>
        <v>0</v>
      </c>
      <c r="DD3" s="10">
        <f t="shared" si="1"/>
        <v>0</v>
      </c>
      <c r="DE3" s="10">
        <f t="shared" si="1"/>
        <v>0</v>
      </c>
      <c r="DF3" s="14">
        <f t="shared" ref="DF3:DQ18" si="2">B3+N3+Z3+AL3+AX3</f>
        <v>0</v>
      </c>
      <c r="DG3" s="14">
        <f t="shared" si="2"/>
        <v>0</v>
      </c>
      <c r="DH3" s="14">
        <f t="shared" si="2"/>
        <v>0</v>
      </c>
      <c r="DI3" s="14">
        <f t="shared" si="2"/>
        <v>0</v>
      </c>
      <c r="DJ3" s="14">
        <f t="shared" si="2"/>
        <v>0</v>
      </c>
      <c r="DK3" s="14">
        <f t="shared" si="2"/>
        <v>0</v>
      </c>
      <c r="DL3" s="14">
        <f t="shared" si="2"/>
        <v>0</v>
      </c>
      <c r="DM3" s="14">
        <f t="shared" si="2"/>
        <v>0</v>
      </c>
      <c r="DN3" s="14">
        <f t="shared" si="2"/>
        <v>0</v>
      </c>
      <c r="DO3" s="14">
        <f t="shared" si="2"/>
        <v>0</v>
      </c>
      <c r="DP3" s="14">
        <f t="shared" si="2"/>
        <v>0</v>
      </c>
      <c r="DQ3" s="14">
        <f t="shared" si="2"/>
        <v>0</v>
      </c>
      <c r="DR3" s="14">
        <f>SUM(DF3:DQ3)</f>
        <v>0</v>
      </c>
    </row>
    <row r="4" spans="1:123" x14ac:dyDescent="0.25">
      <c r="A4" t="s">
        <v>21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4">
        <f t="shared" si="2"/>
        <v>0</v>
      </c>
      <c r="DG4" s="14">
        <f t="shared" si="2"/>
        <v>0</v>
      </c>
      <c r="DH4" s="14">
        <f t="shared" si="2"/>
        <v>0</v>
      </c>
      <c r="DI4" s="14">
        <f t="shared" si="2"/>
        <v>0</v>
      </c>
      <c r="DJ4" s="14">
        <f t="shared" si="2"/>
        <v>0</v>
      </c>
      <c r="DK4" s="14">
        <f t="shared" si="2"/>
        <v>0</v>
      </c>
      <c r="DL4" s="14">
        <f t="shared" si="2"/>
        <v>0</v>
      </c>
      <c r="DM4" s="14">
        <f t="shared" si="2"/>
        <v>0</v>
      </c>
      <c r="DN4" s="14">
        <f t="shared" si="2"/>
        <v>0</v>
      </c>
      <c r="DO4" s="14">
        <f t="shared" si="2"/>
        <v>0</v>
      </c>
      <c r="DP4" s="14">
        <f t="shared" si="2"/>
        <v>0</v>
      </c>
      <c r="DQ4" s="14">
        <f t="shared" si="2"/>
        <v>0</v>
      </c>
      <c r="DR4" s="14">
        <f t="shared" ref="DR4:DR18" si="3">SUM(DF4:DQ4)</f>
        <v>0</v>
      </c>
    </row>
    <row r="5" spans="1:123" x14ac:dyDescent="0.25">
      <c r="A5" t="s">
        <v>22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4">
        <f t="shared" si="2"/>
        <v>0</v>
      </c>
      <c r="DG5" s="14">
        <f t="shared" si="2"/>
        <v>0</v>
      </c>
      <c r="DH5" s="14">
        <f t="shared" si="2"/>
        <v>0</v>
      </c>
      <c r="DI5" s="14">
        <f t="shared" si="2"/>
        <v>0</v>
      </c>
      <c r="DJ5" s="14">
        <f t="shared" si="2"/>
        <v>0</v>
      </c>
      <c r="DK5" s="14">
        <f t="shared" si="2"/>
        <v>0</v>
      </c>
      <c r="DL5" s="14">
        <f t="shared" si="2"/>
        <v>0</v>
      </c>
      <c r="DM5" s="14">
        <f t="shared" si="2"/>
        <v>0</v>
      </c>
      <c r="DN5" s="14">
        <f t="shared" si="2"/>
        <v>0</v>
      </c>
      <c r="DO5" s="14">
        <f t="shared" si="2"/>
        <v>0</v>
      </c>
      <c r="DP5" s="14">
        <f t="shared" si="2"/>
        <v>0</v>
      </c>
      <c r="DQ5" s="14">
        <f t="shared" si="2"/>
        <v>0</v>
      </c>
      <c r="DR5" s="14">
        <f t="shared" si="3"/>
        <v>0</v>
      </c>
    </row>
    <row r="6" spans="1:123" x14ac:dyDescent="0.25">
      <c r="A6" t="s">
        <v>23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4">
        <f t="shared" si="2"/>
        <v>0</v>
      </c>
      <c r="DG6" s="14">
        <f t="shared" si="2"/>
        <v>0</v>
      </c>
      <c r="DH6" s="14">
        <f t="shared" si="2"/>
        <v>0</v>
      </c>
      <c r="DI6" s="14">
        <f t="shared" si="2"/>
        <v>0</v>
      </c>
      <c r="DJ6" s="14">
        <f t="shared" si="2"/>
        <v>0</v>
      </c>
      <c r="DK6" s="14">
        <f t="shared" si="2"/>
        <v>0</v>
      </c>
      <c r="DL6" s="14">
        <f t="shared" si="2"/>
        <v>0</v>
      </c>
      <c r="DM6" s="14">
        <f t="shared" si="2"/>
        <v>0</v>
      </c>
      <c r="DN6" s="14">
        <f t="shared" si="2"/>
        <v>0</v>
      </c>
      <c r="DO6" s="14">
        <f t="shared" si="2"/>
        <v>0</v>
      </c>
      <c r="DP6" s="14">
        <f t="shared" si="2"/>
        <v>0</v>
      </c>
      <c r="DQ6" s="14">
        <f t="shared" si="2"/>
        <v>0</v>
      </c>
      <c r="DR6" s="14">
        <f t="shared" si="3"/>
        <v>0</v>
      </c>
    </row>
    <row r="7" spans="1:123" x14ac:dyDescent="0.25">
      <c r="A7" t="s">
        <v>59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4">
        <f t="shared" si="2"/>
        <v>0</v>
      </c>
      <c r="DG7" s="14">
        <f t="shared" si="2"/>
        <v>0</v>
      </c>
      <c r="DH7" s="14">
        <f t="shared" si="2"/>
        <v>0</v>
      </c>
      <c r="DI7" s="14">
        <f t="shared" si="2"/>
        <v>0</v>
      </c>
      <c r="DJ7" s="14">
        <f t="shared" si="2"/>
        <v>0</v>
      </c>
      <c r="DK7" s="14">
        <f t="shared" si="2"/>
        <v>0</v>
      </c>
      <c r="DL7" s="14">
        <f t="shared" si="2"/>
        <v>0</v>
      </c>
      <c r="DM7" s="14">
        <f t="shared" si="2"/>
        <v>0</v>
      </c>
      <c r="DN7" s="14">
        <f t="shared" si="2"/>
        <v>0</v>
      </c>
      <c r="DO7" s="14">
        <f t="shared" si="2"/>
        <v>0</v>
      </c>
      <c r="DP7" s="14">
        <f t="shared" si="2"/>
        <v>0</v>
      </c>
      <c r="DQ7" s="14">
        <f t="shared" si="2"/>
        <v>0</v>
      </c>
      <c r="DR7" s="14">
        <f t="shared" si="3"/>
        <v>0</v>
      </c>
    </row>
    <row r="8" spans="1:123" x14ac:dyDescent="0.25">
      <c r="A8" t="s">
        <v>30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4">
        <f t="shared" si="2"/>
        <v>0</v>
      </c>
      <c r="DG8" s="14">
        <f t="shared" si="2"/>
        <v>0</v>
      </c>
      <c r="DH8" s="14">
        <f t="shared" si="2"/>
        <v>0</v>
      </c>
      <c r="DI8" s="14">
        <f t="shared" si="2"/>
        <v>0</v>
      </c>
      <c r="DJ8" s="14">
        <f t="shared" si="2"/>
        <v>0</v>
      </c>
      <c r="DK8" s="14">
        <f t="shared" si="2"/>
        <v>0</v>
      </c>
      <c r="DL8" s="14">
        <f t="shared" si="2"/>
        <v>0</v>
      </c>
      <c r="DM8" s="14">
        <f t="shared" si="2"/>
        <v>0</v>
      </c>
      <c r="DN8" s="14">
        <f t="shared" si="2"/>
        <v>0</v>
      </c>
      <c r="DO8" s="14">
        <f t="shared" si="2"/>
        <v>0</v>
      </c>
      <c r="DP8" s="14">
        <f t="shared" si="2"/>
        <v>0</v>
      </c>
      <c r="DQ8" s="14">
        <f t="shared" si="2"/>
        <v>0</v>
      </c>
      <c r="DR8" s="14">
        <f t="shared" si="3"/>
        <v>0</v>
      </c>
    </row>
    <row r="9" spans="1:123" x14ac:dyDescent="0.25">
      <c r="A9" t="s">
        <v>24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4">
        <f t="shared" si="2"/>
        <v>0</v>
      </c>
      <c r="DG9" s="14">
        <f t="shared" si="2"/>
        <v>0</v>
      </c>
      <c r="DH9" s="14">
        <f t="shared" si="2"/>
        <v>0</v>
      </c>
      <c r="DI9" s="14">
        <f t="shared" si="2"/>
        <v>0</v>
      </c>
      <c r="DJ9" s="14">
        <f t="shared" si="2"/>
        <v>0</v>
      </c>
      <c r="DK9" s="14">
        <f t="shared" si="2"/>
        <v>0</v>
      </c>
      <c r="DL9" s="14">
        <f t="shared" si="2"/>
        <v>0</v>
      </c>
      <c r="DM9" s="14">
        <f t="shared" si="2"/>
        <v>0</v>
      </c>
      <c r="DN9" s="14">
        <f t="shared" si="2"/>
        <v>0</v>
      </c>
      <c r="DO9" s="14">
        <f t="shared" si="2"/>
        <v>0</v>
      </c>
      <c r="DP9" s="14">
        <f t="shared" si="2"/>
        <v>0</v>
      </c>
      <c r="DQ9" s="14">
        <f t="shared" si="2"/>
        <v>0</v>
      </c>
      <c r="DR9" s="14">
        <f t="shared" si="3"/>
        <v>0</v>
      </c>
    </row>
    <row r="10" spans="1:123" x14ac:dyDescent="0.25">
      <c r="A10" t="s">
        <v>25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4">
        <f t="shared" si="2"/>
        <v>0</v>
      </c>
      <c r="DG10" s="14">
        <f t="shared" si="2"/>
        <v>0</v>
      </c>
      <c r="DH10" s="14">
        <f t="shared" si="2"/>
        <v>0</v>
      </c>
      <c r="DI10" s="14">
        <f t="shared" si="2"/>
        <v>0</v>
      </c>
      <c r="DJ10" s="14">
        <f t="shared" si="2"/>
        <v>0</v>
      </c>
      <c r="DK10" s="14">
        <f t="shared" si="2"/>
        <v>0</v>
      </c>
      <c r="DL10" s="14">
        <f t="shared" si="2"/>
        <v>0</v>
      </c>
      <c r="DM10" s="14">
        <f t="shared" si="2"/>
        <v>0</v>
      </c>
      <c r="DN10" s="14">
        <f t="shared" si="2"/>
        <v>0</v>
      </c>
      <c r="DO10" s="14">
        <f t="shared" si="2"/>
        <v>0</v>
      </c>
      <c r="DP10" s="14">
        <f t="shared" si="2"/>
        <v>0</v>
      </c>
      <c r="DQ10" s="14">
        <f t="shared" si="2"/>
        <v>0</v>
      </c>
      <c r="DR10" s="14">
        <f t="shared" si="3"/>
        <v>0</v>
      </c>
    </row>
    <row r="11" spans="1:123" x14ac:dyDescent="0.25">
      <c r="A11" t="s">
        <v>26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4">
        <f t="shared" si="2"/>
        <v>0</v>
      </c>
      <c r="DG11" s="14">
        <f t="shared" si="2"/>
        <v>0</v>
      </c>
      <c r="DH11" s="14">
        <f t="shared" si="2"/>
        <v>0</v>
      </c>
      <c r="DI11" s="14">
        <f t="shared" si="2"/>
        <v>0</v>
      </c>
      <c r="DJ11" s="14">
        <f t="shared" si="2"/>
        <v>0</v>
      </c>
      <c r="DK11" s="14">
        <f t="shared" si="2"/>
        <v>0</v>
      </c>
      <c r="DL11" s="14">
        <f t="shared" si="2"/>
        <v>0</v>
      </c>
      <c r="DM11" s="14">
        <f t="shared" si="2"/>
        <v>0</v>
      </c>
      <c r="DN11" s="14">
        <f t="shared" si="2"/>
        <v>0</v>
      </c>
      <c r="DO11" s="14">
        <f t="shared" si="2"/>
        <v>0</v>
      </c>
      <c r="DP11" s="14">
        <f t="shared" si="2"/>
        <v>0</v>
      </c>
      <c r="DQ11" s="14">
        <f t="shared" si="2"/>
        <v>0</v>
      </c>
      <c r="DR11" s="14">
        <f t="shared" si="3"/>
        <v>0</v>
      </c>
    </row>
    <row r="12" spans="1:123" x14ac:dyDescent="0.25">
      <c r="A12" t="s">
        <v>27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4">
        <f t="shared" si="2"/>
        <v>0</v>
      </c>
      <c r="DG12" s="14">
        <f t="shared" si="2"/>
        <v>0</v>
      </c>
      <c r="DH12" s="14">
        <f t="shared" si="2"/>
        <v>0</v>
      </c>
      <c r="DI12" s="14">
        <f t="shared" si="2"/>
        <v>0</v>
      </c>
      <c r="DJ12" s="14">
        <f t="shared" si="2"/>
        <v>0</v>
      </c>
      <c r="DK12" s="14">
        <f t="shared" si="2"/>
        <v>0</v>
      </c>
      <c r="DL12" s="14">
        <f t="shared" si="2"/>
        <v>0</v>
      </c>
      <c r="DM12" s="14">
        <f t="shared" si="2"/>
        <v>0</v>
      </c>
      <c r="DN12" s="14">
        <f t="shared" si="2"/>
        <v>0</v>
      </c>
      <c r="DO12" s="14">
        <f t="shared" si="2"/>
        <v>0</v>
      </c>
      <c r="DP12" s="14">
        <f t="shared" si="2"/>
        <v>0</v>
      </c>
      <c r="DQ12" s="14">
        <f t="shared" si="2"/>
        <v>0</v>
      </c>
      <c r="DR12" s="14">
        <f t="shared" si="3"/>
        <v>0</v>
      </c>
    </row>
    <row r="13" spans="1:123" x14ac:dyDescent="0.25">
      <c r="A13" t="s">
        <v>31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4">
        <f t="shared" si="2"/>
        <v>0</v>
      </c>
      <c r="DG13" s="14">
        <f t="shared" si="2"/>
        <v>0</v>
      </c>
      <c r="DH13" s="14">
        <f t="shared" si="2"/>
        <v>0</v>
      </c>
      <c r="DI13" s="14">
        <f t="shared" si="2"/>
        <v>0</v>
      </c>
      <c r="DJ13" s="14">
        <f t="shared" si="2"/>
        <v>0</v>
      </c>
      <c r="DK13" s="14">
        <f t="shared" si="2"/>
        <v>0</v>
      </c>
      <c r="DL13" s="14">
        <f t="shared" si="2"/>
        <v>0</v>
      </c>
      <c r="DM13" s="14">
        <f t="shared" si="2"/>
        <v>0</v>
      </c>
      <c r="DN13" s="14">
        <f t="shared" si="2"/>
        <v>0</v>
      </c>
      <c r="DO13" s="14">
        <f t="shared" si="2"/>
        <v>0</v>
      </c>
      <c r="DP13" s="14">
        <f t="shared" si="2"/>
        <v>0</v>
      </c>
      <c r="DQ13" s="14">
        <f t="shared" si="2"/>
        <v>0</v>
      </c>
      <c r="DR13" s="14">
        <f t="shared" si="3"/>
        <v>0</v>
      </c>
    </row>
    <row r="14" spans="1:123" x14ac:dyDescent="0.25">
      <c r="A14" t="s">
        <v>32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4">
        <f t="shared" si="2"/>
        <v>0</v>
      </c>
      <c r="DG14" s="14">
        <f t="shared" si="2"/>
        <v>0</v>
      </c>
      <c r="DH14" s="14">
        <f t="shared" si="2"/>
        <v>0</v>
      </c>
      <c r="DI14" s="14">
        <f t="shared" si="2"/>
        <v>0</v>
      </c>
      <c r="DJ14" s="14">
        <f t="shared" si="2"/>
        <v>0</v>
      </c>
      <c r="DK14" s="14">
        <f t="shared" si="2"/>
        <v>0</v>
      </c>
      <c r="DL14" s="14">
        <f t="shared" si="2"/>
        <v>0</v>
      </c>
      <c r="DM14" s="14">
        <f t="shared" si="2"/>
        <v>0</v>
      </c>
      <c r="DN14" s="14">
        <f t="shared" si="2"/>
        <v>0</v>
      </c>
      <c r="DO14" s="14">
        <f t="shared" si="2"/>
        <v>0</v>
      </c>
      <c r="DP14" s="14">
        <f t="shared" si="2"/>
        <v>0</v>
      </c>
      <c r="DQ14" s="14">
        <f t="shared" si="2"/>
        <v>0</v>
      </c>
      <c r="DR14" s="14">
        <f t="shared" si="3"/>
        <v>0</v>
      </c>
    </row>
    <row r="15" spans="1:123" x14ac:dyDescent="0.25">
      <c r="A15" t="s">
        <v>28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4">
        <f t="shared" si="2"/>
        <v>0</v>
      </c>
      <c r="DG15" s="14">
        <f t="shared" si="2"/>
        <v>0</v>
      </c>
      <c r="DH15" s="14">
        <f t="shared" si="2"/>
        <v>0</v>
      </c>
      <c r="DI15" s="14">
        <f t="shared" si="2"/>
        <v>0</v>
      </c>
      <c r="DJ15" s="14">
        <f t="shared" si="2"/>
        <v>0</v>
      </c>
      <c r="DK15" s="14">
        <f t="shared" si="2"/>
        <v>0</v>
      </c>
      <c r="DL15" s="14">
        <f t="shared" si="2"/>
        <v>0</v>
      </c>
      <c r="DM15" s="14">
        <f t="shared" si="2"/>
        <v>0</v>
      </c>
      <c r="DN15" s="14">
        <f t="shared" si="2"/>
        <v>0</v>
      </c>
      <c r="DO15" s="14">
        <f t="shared" si="2"/>
        <v>0</v>
      </c>
      <c r="DP15" s="14">
        <f t="shared" si="2"/>
        <v>0</v>
      </c>
      <c r="DQ15" s="14">
        <f t="shared" si="2"/>
        <v>0</v>
      </c>
      <c r="DR15" s="14">
        <f t="shared" si="3"/>
        <v>0</v>
      </c>
    </row>
    <row r="16" spans="1:123" x14ac:dyDescent="0.25">
      <c r="A16" t="s">
        <v>29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4">
        <f t="shared" si="2"/>
        <v>0</v>
      </c>
      <c r="DG16" s="14">
        <f t="shared" si="2"/>
        <v>0</v>
      </c>
      <c r="DH16" s="14">
        <f t="shared" si="2"/>
        <v>0</v>
      </c>
      <c r="DI16" s="14">
        <f t="shared" si="2"/>
        <v>0</v>
      </c>
      <c r="DJ16" s="14">
        <f t="shared" si="2"/>
        <v>0</v>
      </c>
      <c r="DK16" s="14">
        <f t="shared" si="2"/>
        <v>0</v>
      </c>
      <c r="DL16" s="14">
        <f t="shared" si="2"/>
        <v>0</v>
      </c>
      <c r="DM16" s="14">
        <f t="shared" si="2"/>
        <v>0</v>
      </c>
      <c r="DN16" s="14">
        <f t="shared" si="2"/>
        <v>0</v>
      </c>
      <c r="DO16" s="14">
        <f t="shared" si="2"/>
        <v>0</v>
      </c>
      <c r="DP16" s="14">
        <f t="shared" si="2"/>
        <v>0</v>
      </c>
      <c r="DQ16" s="14">
        <f t="shared" si="2"/>
        <v>0</v>
      </c>
      <c r="DR16" s="14">
        <f t="shared" si="3"/>
        <v>0</v>
      </c>
    </row>
    <row r="17" spans="1:122" x14ac:dyDescent="0.25">
      <c r="A17" t="s">
        <v>33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4">
        <f t="shared" si="2"/>
        <v>0</v>
      </c>
      <c r="DG17" s="14">
        <f t="shared" si="2"/>
        <v>0</v>
      </c>
      <c r="DH17" s="14">
        <f t="shared" si="2"/>
        <v>0</v>
      </c>
      <c r="DI17" s="14">
        <f t="shared" si="2"/>
        <v>0</v>
      </c>
      <c r="DJ17" s="14">
        <f t="shared" si="2"/>
        <v>0</v>
      </c>
      <c r="DK17" s="14">
        <f t="shared" si="2"/>
        <v>0</v>
      </c>
      <c r="DL17" s="14">
        <f t="shared" si="2"/>
        <v>0</v>
      </c>
      <c r="DM17" s="14">
        <f t="shared" si="2"/>
        <v>0</v>
      </c>
      <c r="DN17" s="14">
        <f t="shared" si="2"/>
        <v>0</v>
      </c>
      <c r="DO17" s="14">
        <f t="shared" si="2"/>
        <v>0</v>
      </c>
      <c r="DP17" s="14">
        <f t="shared" si="2"/>
        <v>0</v>
      </c>
      <c r="DQ17" s="14">
        <f t="shared" si="2"/>
        <v>0</v>
      </c>
      <c r="DR17" s="14">
        <f t="shared" si="3"/>
        <v>0</v>
      </c>
    </row>
    <row r="18" spans="1:122" x14ac:dyDescent="0.25">
      <c r="A18" t="s">
        <v>34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4">
        <f t="shared" si="2"/>
        <v>0</v>
      </c>
      <c r="DG18" s="14">
        <f t="shared" si="2"/>
        <v>0</v>
      </c>
      <c r="DH18" s="14">
        <f t="shared" si="2"/>
        <v>0</v>
      </c>
      <c r="DI18" s="14">
        <f t="shared" si="2"/>
        <v>0</v>
      </c>
      <c r="DJ18" s="14">
        <f t="shared" si="2"/>
        <v>0</v>
      </c>
      <c r="DK18" s="14">
        <f t="shared" si="2"/>
        <v>0</v>
      </c>
      <c r="DL18" s="14">
        <f t="shared" si="2"/>
        <v>0</v>
      </c>
      <c r="DM18" s="14">
        <f t="shared" si="2"/>
        <v>0</v>
      </c>
      <c r="DN18" s="14">
        <f t="shared" si="2"/>
        <v>0</v>
      </c>
      <c r="DO18" s="14">
        <f t="shared" si="2"/>
        <v>0</v>
      </c>
      <c r="DP18" s="14">
        <f t="shared" si="2"/>
        <v>0</v>
      </c>
      <c r="DQ18" s="14">
        <f t="shared" si="2"/>
        <v>0</v>
      </c>
      <c r="DR18" s="14">
        <f t="shared" si="3"/>
        <v>0</v>
      </c>
    </row>
    <row r="19" spans="1:122" x14ac:dyDescent="0.25">
      <c r="BL19" s="13"/>
    </row>
  </sheetData>
  <mergeCells count="12">
    <mergeCell ref="AX1:BI1"/>
    <mergeCell ref="A1:A2"/>
    <mergeCell ref="B1:M1"/>
    <mergeCell ref="N1:Y1"/>
    <mergeCell ref="Z1:AJ1"/>
    <mergeCell ref="AL1:AW1"/>
    <mergeCell ref="DQ1:DS1"/>
    <mergeCell ref="BJ1:BU1"/>
    <mergeCell ref="BV1:CG1"/>
    <mergeCell ref="CH1:CS1"/>
    <mergeCell ref="CT1:DE1"/>
    <mergeCell ref="DF1:DP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2582-B9E4-490D-9BE6-6F2CD840584D}">
  <sheetPr codeName="Planilha7"/>
  <dimension ref="A1:DS19"/>
  <sheetViews>
    <sheetView topLeftCell="CY1" zoomScaleNormal="100" workbookViewId="0">
      <selection activeCell="DR14" sqref="DR14"/>
    </sheetView>
  </sheetViews>
  <sheetFormatPr defaultRowHeight="15" x14ac:dyDescent="0.25"/>
  <cols>
    <col min="1" max="1" width="71.5703125" bestFit="1" customWidth="1"/>
    <col min="2" max="2" width="17.28515625" bestFit="1" customWidth="1"/>
    <col min="3" max="3" width="4" bestFit="1" customWidth="1"/>
    <col min="4" max="4" width="3.42578125" bestFit="1" customWidth="1"/>
    <col min="5" max="5" width="3" bestFit="1" customWidth="1"/>
    <col min="6" max="6" width="4.140625" bestFit="1" customWidth="1"/>
    <col min="7" max="7" width="5.28515625" bestFit="1" customWidth="1"/>
    <col min="8" max="8" width="6.140625" bestFit="1" customWidth="1"/>
    <col min="9" max="9" width="4.28515625" bestFit="1" customWidth="1"/>
    <col min="10" max="10" width="4.42578125" bestFit="1" customWidth="1"/>
    <col min="11" max="11" width="5.5703125" bestFit="1" customWidth="1"/>
    <col min="12" max="12" width="5" bestFit="1" customWidth="1"/>
    <col min="13" max="13" width="4.140625" bestFit="1" customWidth="1"/>
    <col min="14" max="14" width="5.28515625" customWidth="1"/>
    <col min="15" max="15" width="3.85546875" bestFit="1" customWidth="1"/>
    <col min="16" max="16" width="5.28515625" bestFit="1" customWidth="1"/>
    <col min="17" max="17" width="4.28515625" customWidth="1"/>
    <col min="18" max="18" width="5.5703125" customWidth="1"/>
    <col min="19" max="19" width="4.140625" customWidth="1"/>
    <col min="20" max="20" width="5.28515625" customWidth="1"/>
    <col min="21" max="21" width="4" customWidth="1"/>
    <col min="22" max="22" width="5" customWidth="1"/>
    <col min="23" max="23" width="4.42578125" customWidth="1"/>
    <col min="24" max="24" width="6.140625" customWidth="1"/>
    <col min="25" max="25" width="3.85546875" customWidth="1"/>
    <col min="26" max="27" width="5.28515625" customWidth="1"/>
    <col min="28" max="28" width="6.7109375" customWidth="1"/>
    <col min="29" max="29" width="4.28515625" customWidth="1"/>
    <col min="30" max="30" width="5.5703125" customWidth="1"/>
    <col min="31" max="31" width="4.140625" customWidth="1"/>
    <col min="32" max="32" width="5.28515625" customWidth="1"/>
    <col min="33" max="33" width="4" customWidth="1"/>
    <col min="34" max="34" width="5" customWidth="1"/>
    <col min="35" max="35" width="4.42578125" customWidth="1"/>
    <col min="36" max="36" width="6.140625" customWidth="1"/>
    <col min="37" max="37" width="3.85546875" customWidth="1"/>
    <col min="38" max="39" width="5.28515625" customWidth="1"/>
    <col min="40" max="40" width="6.7109375" customWidth="1"/>
  </cols>
  <sheetData>
    <row r="1" spans="1:123" x14ac:dyDescent="0.25">
      <c r="A1" s="21" t="s">
        <v>57</v>
      </c>
      <c r="B1" s="28" t="s">
        <v>62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  <c r="N1" s="23" t="s">
        <v>61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7"/>
      <c r="Z1" s="28" t="s">
        <v>63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58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5"/>
      <c r="AX1" s="23" t="s">
        <v>69</v>
      </c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5"/>
      <c r="BJ1" s="23" t="s">
        <v>70</v>
      </c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5"/>
      <c r="BV1" s="23" t="s">
        <v>71</v>
      </c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5"/>
      <c r="CH1" s="23" t="s">
        <v>72</v>
      </c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5"/>
      <c r="CT1" s="23" t="s">
        <v>73</v>
      </c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5"/>
      <c r="DF1" s="23" t="s">
        <v>17</v>
      </c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6"/>
      <c r="DR1" s="26"/>
      <c r="DS1" s="26"/>
    </row>
    <row r="2" spans="1:12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0" t="s">
        <v>39</v>
      </c>
      <c r="AY2" s="10" t="s">
        <v>40</v>
      </c>
      <c r="AZ2" s="10" t="s">
        <v>44</v>
      </c>
      <c r="BA2" s="10" t="s">
        <v>20</v>
      </c>
      <c r="BB2" s="10" t="s">
        <v>45</v>
      </c>
      <c r="BC2" s="10" t="s">
        <v>42</v>
      </c>
      <c r="BD2" s="10" t="s">
        <v>43</v>
      </c>
      <c r="BE2" s="10" t="s">
        <v>36</v>
      </c>
      <c r="BF2" s="10" t="s">
        <v>46</v>
      </c>
      <c r="BG2" s="10" t="s">
        <v>38</v>
      </c>
      <c r="BH2" s="10" t="s">
        <v>41</v>
      </c>
      <c r="BI2" s="10" t="s">
        <v>37</v>
      </c>
      <c r="BJ2" s="10" t="s">
        <v>39</v>
      </c>
      <c r="BK2" s="10" t="s">
        <v>40</v>
      </c>
      <c r="BL2" s="10" t="s">
        <v>44</v>
      </c>
      <c r="BM2" s="10" t="s">
        <v>20</v>
      </c>
      <c r="BN2" s="10" t="s">
        <v>45</v>
      </c>
      <c r="BO2" s="10" t="s">
        <v>42</v>
      </c>
      <c r="BP2" s="10" t="s">
        <v>43</v>
      </c>
      <c r="BQ2" s="10" t="s">
        <v>36</v>
      </c>
      <c r="BR2" s="10" t="s">
        <v>46</v>
      </c>
      <c r="BS2" s="10" t="s">
        <v>38</v>
      </c>
      <c r="BT2" s="10" t="s">
        <v>41</v>
      </c>
      <c r="BU2" s="10" t="s">
        <v>37</v>
      </c>
      <c r="BV2" s="10" t="s">
        <v>39</v>
      </c>
      <c r="BW2" s="10" t="s">
        <v>40</v>
      </c>
      <c r="BX2" s="10" t="s">
        <v>44</v>
      </c>
      <c r="BY2" s="10" t="s">
        <v>20</v>
      </c>
      <c r="BZ2" s="10" t="s">
        <v>45</v>
      </c>
      <c r="CA2" s="10" t="s">
        <v>42</v>
      </c>
      <c r="CB2" s="10" t="s">
        <v>43</v>
      </c>
      <c r="CC2" s="10" t="s">
        <v>36</v>
      </c>
      <c r="CD2" s="10" t="s">
        <v>46</v>
      </c>
      <c r="CE2" s="10" t="s">
        <v>38</v>
      </c>
      <c r="CF2" s="10" t="s">
        <v>41</v>
      </c>
      <c r="CG2" s="10" t="s">
        <v>37</v>
      </c>
      <c r="CH2" s="10" t="s">
        <v>39</v>
      </c>
      <c r="CI2" s="10" t="s">
        <v>40</v>
      </c>
      <c r="CJ2" s="10" t="s">
        <v>44</v>
      </c>
      <c r="CK2" s="10" t="s">
        <v>20</v>
      </c>
      <c r="CL2" s="10" t="s">
        <v>45</v>
      </c>
      <c r="CM2" s="10" t="s">
        <v>42</v>
      </c>
      <c r="CN2" s="10" t="s">
        <v>43</v>
      </c>
      <c r="CO2" s="10" t="s">
        <v>36</v>
      </c>
      <c r="CP2" s="10" t="s">
        <v>46</v>
      </c>
      <c r="CQ2" s="10" t="s">
        <v>38</v>
      </c>
      <c r="CR2" s="10" t="s">
        <v>41</v>
      </c>
      <c r="CS2" s="10" t="s">
        <v>37</v>
      </c>
      <c r="CT2" s="10" t="s">
        <v>39</v>
      </c>
      <c r="CU2" s="10" t="s">
        <v>40</v>
      </c>
      <c r="CV2" s="10" t="s">
        <v>44</v>
      </c>
      <c r="CW2" s="10" t="s">
        <v>20</v>
      </c>
      <c r="CX2" s="10" t="s">
        <v>45</v>
      </c>
      <c r="CY2" s="10" t="s">
        <v>42</v>
      </c>
      <c r="CZ2" s="10" t="s">
        <v>43</v>
      </c>
      <c r="DA2" s="10" t="s">
        <v>36</v>
      </c>
      <c r="DB2" s="10" t="s">
        <v>46</v>
      </c>
      <c r="DC2" s="10" t="s">
        <v>38</v>
      </c>
      <c r="DD2" s="10" t="s">
        <v>41</v>
      </c>
      <c r="DE2" s="10" t="s">
        <v>37</v>
      </c>
      <c r="DF2" s="15" t="s">
        <v>39</v>
      </c>
      <c r="DG2" s="15" t="s">
        <v>40</v>
      </c>
      <c r="DH2" s="15" t="s">
        <v>44</v>
      </c>
      <c r="DI2" s="15" t="s">
        <v>20</v>
      </c>
      <c r="DJ2" s="15" t="s">
        <v>45</v>
      </c>
      <c r="DK2" s="15" t="s">
        <v>42</v>
      </c>
      <c r="DL2" s="15" t="s">
        <v>43</v>
      </c>
      <c r="DM2" s="15" t="s">
        <v>36</v>
      </c>
      <c r="DN2" s="15" t="s">
        <v>46</v>
      </c>
      <c r="DO2" s="15" t="s">
        <v>38</v>
      </c>
      <c r="DP2" s="15" t="s">
        <v>41</v>
      </c>
      <c r="DQ2" s="15" t="s">
        <v>37</v>
      </c>
      <c r="DR2" s="16" t="s">
        <v>17</v>
      </c>
    </row>
    <row r="3" spans="1:123" x14ac:dyDescent="0.25">
      <c r="A3" s="12" t="s">
        <v>17</v>
      </c>
      <c r="B3" s="10">
        <f>SUM(B4:B18)</f>
        <v>0</v>
      </c>
      <c r="C3" s="10">
        <f t="shared" ref="C3:BN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0">
        <f t="shared" si="0"/>
        <v>0</v>
      </c>
      <c r="O3" s="10">
        <f t="shared" si="0"/>
        <v>0</v>
      </c>
      <c r="P3" s="10">
        <f t="shared" si="0"/>
        <v>0</v>
      </c>
      <c r="Q3" s="10">
        <f t="shared" si="0"/>
        <v>0</v>
      </c>
      <c r="R3" s="10">
        <f t="shared" si="0"/>
        <v>0</v>
      </c>
      <c r="S3" s="10">
        <f t="shared" si="0"/>
        <v>0</v>
      </c>
      <c r="T3" s="10">
        <f t="shared" si="0"/>
        <v>0</v>
      </c>
      <c r="U3" s="10">
        <f t="shared" si="0"/>
        <v>0</v>
      </c>
      <c r="V3" s="10">
        <f t="shared" si="0"/>
        <v>0</v>
      </c>
      <c r="W3" s="10">
        <f t="shared" si="0"/>
        <v>0</v>
      </c>
      <c r="X3" s="10">
        <f t="shared" si="0"/>
        <v>0</v>
      </c>
      <c r="Y3" s="10">
        <f t="shared" si="0"/>
        <v>0</v>
      </c>
      <c r="Z3" s="10">
        <f t="shared" si="0"/>
        <v>0</v>
      </c>
      <c r="AA3" s="10">
        <f t="shared" si="0"/>
        <v>0</v>
      </c>
      <c r="AB3" s="10">
        <f t="shared" si="0"/>
        <v>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0</v>
      </c>
      <c r="AH3" s="10">
        <f t="shared" si="0"/>
        <v>0</v>
      </c>
      <c r="AI3" s="10">
        <f t="shared" si="0"/>
        <v>0</v>
      </c>
      <c r="AJ3" s="10">
        <f t="shared" si="0"/>
        <v>0</v>
      </c>
      <c r="AK3" s="10">
        <f t="shared" si="0"/>
        <v>0</v>
      </c>
      <c r="AL3" s="10">
        <f t="shared" si="0"/>
        <v>0</v>
      </c>
      <c r="AM3" s="10">
        <f t="shared" si="0"/>
        <v>0</v>
      </c>
      <c r="AN3" s="10">
        <f t="shared" si="0"/>
        <v>0</v>
      </c>
      <c r="AO3" s="10">
        <f t="shared" si="0"/>
        <v>0</v>
      </c>
      <c r="AP3" s="10">
        <f t="shared" si="0"/>
        <v>0</v>
      </c>
      <c r="AQ3" s="10">
        <f t="shared" si="0"/>
        <v>0</v>
      </c>
      <c r="AR3" s="10">
        <f t="shared" si="0"/>
        <v>0</v>
      </c>
      <c r="AS3" s="10">
        <f t="shared" si="0"/>
        <v>0</v>
      </c>
      <c r="AT3" s="10">
        <f t="shared" si="0"/>
        <v>0</v>
      </c>
      <c r="AU3" s="10">
        <f t="shared" si="0"/>
        <v>0</v>
      </c>
      <c r="AV3" s="10">
        <f t="shared" si="0"/>
        <v>0</v>
      </c>
      <c r="AW3" s="10">
        <f t="shared" si="0"/>
        <v>0</v>
      </c>
      <c r="AX3" s="10">
        <f t="shared" si="0"/>
        <v>0</v>
      </c>
      <c r="AY3" s="10">
        <f t="shared" si="0"/>
        <v>0</v>
      </c>
      <c r="AZ3" s="10">
        <f t="shared" si="0"/>
        <v>0</v>
      </c>
      <c r="BA3" s="10">
        <f t="shared" si="0"/>
        <v>0</v>
      </c>
      <c r="BB3" s="10">
        <f t="shared" si="0"/>
        <v>0</v>
      </c>
      <c r="BC3" s="10">
        <f t="shared" si="0"/>
        <v>0</v>
      </c>
      <c r="BD3" s="10">
        <f t="shared" si="0"/>
        <v>0</v>
      </c>
      <c r="BE3" s="10">
        <f t="shared" si="0"/>
        <v>0</v>
      </c>
      <c r="BF3" s="10">
        <f t="shared" si="0"/>
        <v>0</v>
      </c>
      <c r="BG3" s="10">
        <f t="shared" si="0"/>
        <v>0</v>
      </c>
      <c r="BH3" s="10">
        <f t="shared" si="0"/>
        <v>0</v>
      </c>
      <c r="BI3" s="10">
        <f t="shared" si="0"/>
        <v>0</v>
      </c>
      <c r="BJ3" s="10">
        <f t="shared" si="0"/>
        <v>0</v>
      </c>
      <c r="BK3" s="10">
        <f t="shared" si="0"/>
        <v>0</v>
      </c>
      <c r="BL3" s="10">
        <f t="shared" si="0"/>
        <v>0</v>
      </c>
      <c r="BM3" s="10">
        <f t="shared" si="0"/>
        <v>0</v>
      </c>
      <c r="BN3" s="10">
        <f t="shared" si="0"/>
        <v>0</v>
      </c>
      <c r="BO3" s="10">
        <f t="shared" ref="BO3:DE3" si="1">SUM(BO4:BO18)</f>
        <v>0</v>
      </c>
      <c r="BP3" s="10">
        <f t="shared" si="1"/>
        <v>0</v>
      </c>
      <c r="BQ3" s="10">
        <f t="shared" si="1"/>
        <v>0</v>
      </c>
      <c r="BR3" s="10">
        <f t="shared" si="1"/>
        <v>0</v>
      </c>
      <c r="BS3" s="10">
        <f t="shared" si="1"/>
        <v>0</v>
      </c>
      <c r="BT3" s="10">
        <f t="shared" si="1"/>
        <v>0</v>
      </c>
      <c r="BU3" s="10">
        <f t="shared" si="1"/>
        <v>0</v>
      </c>
      <c r="BV3" s="10">
        <f t="shared" si="1"/>
        <v>0</v>
      </c>
      <c r="BW3" s="10">
        <f t="shared" si="1"/>
        <v>0</v>
      </c>
      <c r="BX3" s="10">
        <f t="shared" si="1"/>
        <v>0</v>
      </c>
      <c r="BY3" s="10">
        <f t="shared" si="1"/>
        <v>0</v>
      </c>
      <c r="BZ3" s="10">
        <f t="shared" si="1"/>
        <v>0</v>
      </c>
      <c r="CA3" s="10">
        <f t="shared" si="1"/>
        <v>0</v>
      </c>
      <c r="CB3" s="10">
        <f t="shared" si="1"/>
        <v>0</v>
      </c>
      <c r="CC3" s="10">
        <f t="shared" si="1"/>
        <v>0</v>
      </c>
      <c r="CD3" s="10">
        <f t="shared" si="1"/>
        <v>0</v>
      </c>
      <c r="CE3" s="10">
        <f t="shared" si="1"/>
        <v>0</v>
      </c>
      <c r="CF3" s="10">
        <f t="shared" si="1"/>
        <v>0</v>
      </c>
      <c r="CG3" s="10">
        <f t="shared" si="1"/>
        <v>0</v>
      </c>
      <c r="CH3" s="10">
        <f t="shared" si="1"/>
        <v>0</v>
      </c>
      <c r="CI3" s="10">
        <f t="shared" si="1"/>
        <v>0</v>
      </c>
      <c r="CJ3" s="10">
        <f t="shared" si="1"/>
        <v>0</v>
      </c>
      <c r="CK3" s="10">
        <f t="shared" si="1"/>
        <v>0</v>
      </c>
      <c r="CL3" s="10">
        <f t="shared" si="1"/>
        <v>0</v>
      </c>
      <c r="CM3" s="10">
        <f t="shared" si="1"/>
        <v>0</v>
      </c>
      <c r="CN3" s="10">
        <f t="shared" si="1"/>
        <v>0</v>
      </c>
      <c r="CO3" s="10">
        <f t="shared" si="1"/>
        <v>0</v>
      </c>
      <c r="CP3" s="10">
        <f t="shared" si="1"/>
        <v>0</v>
      </c>
      <c r="CQ3" s="10">
        <f t="shared" si="1"/>
        <v>0</v>
      </c>
      <c r="CR3" s="10">
        <f t="shared" si="1"/>
        <v>0</v>
      </c>
      <c r="CS3" s="10">
        <f t="shared" si="1"/>
        <v>0</v>
      </c>
      <c r="CT3" s="10">
        <f t="shared" si="1"/>
        <v>0</v>
      </c>
      <c r="CU3" s="10">
        <f t="shared" si="1"/>
        <v>0</v>
      </c>
      <c r="CV3" s="10">
        <f t="shared" si="1"/>
        <v>0</v>
      </c>
      <c r="CW3" s="10">
        <f t="shared" si="1"/>
        <v>0</v>
      </c>
      <c r="CX3" s="10">
        <f t="shared" si="1"/>
        <v>0</v>
      </c>
      <c r="CY3" s="10">
        <f t="shared" si="1"/>
        <v>0</v>
      </c>
      <c r="CZ3" s="10">
        <f t="shared" si="1"/>
        <v>0</v>
      </c>
      <c r="DA3" s="10">
        <f t="shared" si="1"/>
        <v>0</v>
      </c>
      <c r="DB3" s="10">
        <f t="shared" si="1"/>
        <v>0</v>
      </c>
      <c r="DC3" s="10">
        <f t="shared" si="1"/>
        <v>0</v>
      </c>
      <c r="DD3" s="10">
        <f t="shared" si="1"/>
        <v>0</v>
      </c>
      <c r="DE3" s="10">
        <f t="shared" si="1"/>
        <v>0</v>
      </c>
      <c r="DF3" s="14">
        <f t="shared" ref="DF3:DQ18" si="2">B3+N3+Z3+AL3+AX3</f>
        <v>0</v>
      </c>
      <c r="DG3" s="14">
        <f t="shared" si="2"/>
        <v>0</v>
      </c>
      <c r="DH3" s="14">
        <f t="shared" si="2"/>
        <v>0</v>
      </c>
      <c r="DI3" s="14">
        <f t="shared" si="2"/>
        <v>0</v>
      </c>
      <c r="DJ3" s="14">
        <f t="shared" si="2"/>
        <v>0</v>
      </c>
      <c r="DK3" s="14">
        <f t="shared" si="2"/>
        <v>0</v>
      </c>
      <c r="DL3" s="14">
        <f t="shared" si="2"/>
        <v>0</v>
      </c>
      <c r="DM3" s="14">
        <f t="shared" si="2"/>
        <v>0</v>
      </c>
      <c r="DN3" s="14">
        <f t="shared" si="2"/>
        <v>0</v>
      </c>
      <c r="DO3" s="14">
        <f t="shared" si="2"/>
        <v>0</v>
      </c>
      <c r="DP3" s="14">
        <f t="shared" si="2"/>
        <v>0</v>
      </c>
      <c r="DQ3" s="14">
        <f t="shared" si="2"/>
        <v>0</v>
      </c>
      <c r="DR3" s="14">
        <f>SUM(DF3:DQ3)</f>
        <v>0</v>
      </c>
    </row>
    <row r="4" spans="1:123" x14ac:dyDescent="0.25">
      <c r="A4" t="s">
        <v>21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4">
        <f t="shared" si="2"/>
        <v>0</v>
      </c>
      <c r="DG4" s="14">
        <f t="shared" si="2"/>
        <v>0</v>
      </c>
      <c r="DH4" s="14">
        <f t="shared" si="2"/>
        <v>0</v>
      </c>
      <c r="DI4" s="14">
        <f t="shared" si="2"/>
        <v>0</v>
      </c>
      <c r="DJ4" s="14">
        <f t="shared" si="2"/>
        <v>0</v>
      </c>
      <c r="DK4" s="14">
        <f t="shared" si="2"/>
        <v>0</v>
      </c>
      <c r="DL4" s="14">
        <f t="shared" si="2"/>
        <v>0</v>
      </c>
      <c r="DM4" s="14">
        <f t="shared" si="2"/>
        <v>0</v>
      </c>
      <c r="DN4" s="14">
        <f t="shared" si="2"/>
        <v>0</v>
      </c>
      <c r="DO4" s="14">
        <f t="shared" si="2"/>
        <v>0</v>
      </c>
      <c r="DP4" s="14">
        <f t="shared" si="2"/>
        <v>0</v>
      </c>
      <c r="DQ4" s="14">
        <f t="shared" si="2"/>
        <v>0</v>
      </c>
      <c r="DR4" s="14">
        <f t="shared" ref="DR4:DR18" si="3">SUM(DF4:DQ4)</f>
        <v>0</v>
      </c>
    </row>
    <row r="5" spans="1:123" x14ac:dyDescent="0.25">
      <c r="A5" t="s">
        <v>22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4">
        <f t="shared" si="2"/>
        <v>0</v>
      </c>
      <c r="DG5" s="14">
        <f t="shared" si="2"/>
        <v>0</v>
      </c>
      <c r="DH5" s="14">
        <f t="shared" si="2"/>
        <v>0</v>
      </c>
      <c r="DI5" s="14">
        <f t="shared" si="2"/>
        <v>0</v>
      </c>
      <c r="DJ5" s="14">
        <f t="shared" si="2"/>
        <v>0</v>
      </c>
      <c r="DK5" s="14">
        <f t="shared" si="2"/>
        <v>0</v>
      </c>
      <c r="DL5" s="14">
        <f t="shared" si="2"/>
        <v>0</v>
      </c>
      <c r="DM5" s="14">
        <f t="shared" si="2"/>
        <v>0</v>
      </c>
      <c r="DN5" s="14">
        <f t="shared" si="2"/>
        <v>0</v>
      </c>
      <c r="DO5" s="14">
        <f t="shared" si="2"/>
        <v>0</v>
      </c>
      <c r="DP5" s="14">
        <f t="shared" si="2"/>
        <v>0</v>
      </c>
      <c r="DQ5" s="14">
        <f t="shared" si="2"/>
        <v>0</v>
      </c>
      <c r="DR5" s="14">
        <f t="shared" si="3"/>
        <v>0</v>
      </c>
    </row>
    <row r="6" spans="1:123" x14ac:dyDescent="0.25">
      <c r="A6" t="s">
        <v>23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4">
        <f t="shared" si="2"/>
        <v>0</v>
      </c>
      <c r="DG6" s="14">
        <f t="shared" si="2"/>
        <v>0</v>
      </c>
      <c r="DH6" s="14">
        <f t="shared" si="2"/>
        <v>0</v>
      </c>
      <c r="DI6" s="14">
        <f t="shared" si="2"/>
        <v>0</v>
      </c>
      <c r="DJ6" s="14">
        <f t="shared" si="2"/>
        <v>0</v>
      </c>
      <c r="DK6" s="14">
        <f t="shared" si="2"/>
        <v>0</v>
      </c>
      <c r="DL6" s="14">
        <f t="shared" si="2"/>
        <v>0</v>
      </c>
      <c r="DM6" s="14">
        <f t="shared" si="2"/>
        <v>0</v>
      </c>
      <c r="DN6" s="14">
        <f t="shared" si="2"/>
        <v>0</v>
      </c>
      <c r="DO6" s="14">
        <f t="shared" si="2"/>
        <v>0</v>
      </c>
      <c r="DP6" s="14">
        <f t="shared" si="2"/>
        <v>0</v>
      </c>
      <c r="DQ6" s="14">
        <f t="shared" si="2"/>
        <v>0</v>
      </c>
      <c r="DR6" s="14">
        <f t="shared" si="3"/>
        <v>0</v>
      </c>
    </row>
    <row r="7" spans="1:123" x14ac:dyDescent="0.25">
      <c r="A7" t="s">
        <v>59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4">
        <f t="shared" si="2"/>
        <v>0</v>
      </c>
      <c r="DG7" s="14">
        <f t="shared" si="2"/>
        <v>0</v>
      </c>
      <c r="DH7" s="14">
        <f t="shared" si="2"/>
        <v>0</v>
      </c>
      <c r="DI7" s="14">
        <f t="shared" si="2"/>
        <v>0</v>
      </c>
      <c r="DJ7" s="14">
        <f t="shared" si="2"/>
        <v>0</v>
      </c>
      <c r="DK7" s="14">
        <f t="shared" si="2"/>
        <v>0</v>
      </c>
      <c r="DL7" s="14">
        <f t="shared" si="2"/>
        <v>0</v>
      </c>
      <c r="DM7" s="14">
        <f t="shared" si="2"/>
        <v>0</v>
      </c>
      <c r="DN7" s="14">
        <f t="shared" si="2"/>
        <v>0</v>
      </c>
      <c r="DO7" s="14">
        <f t="shared" si="2"/>
        <v>0</v>
      </c>
      <c r="DP7" s="14">
        <f t="shared" si="2"/>
        <v>0</v>
      </c>
      <c r="DQ7" s="14">
        <f t="shared" si="2"/>
        <v>0</v>
      </c>
      <c r="DR7" s="14">
        <f t="shared" si="3"/>
        <v>0</v>
      </c>
    </row>
    <row r="8" spans="1:123" x14ac:dyDescent="0.25">
      <c r="A8" t="s">
        <v>30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4">
        <f t="shared" si="2"/>
        <v>0</v>
      </c>
      <c r="DG8" s="14">
        <f t="shared" si="2"/>
        <v>0</v>
      </c>
      <c r="DH8" s="14">
        <f t="shared" si="2"/>
        <v>0</v>
      </c>
      <c r="DI8" s="14">
        <f t="shared" si="2"/>
        <v>0</v>
      </c>
      <c r="DJ8" s="14">
        <f t="shared" si="2"/>
        <v>0</v>
      </c>
      <c r="DK8" s="14">
        <f t="shared" si="2"/>
        <v>0</v>
      </c>
      <c r="DL8" s="14">
        <f t="shared" si="2"/>
        <v>0</v>
      </c>
      <c r="DM8" s="14">
        <f t="shared" si="2"/>
        <v>0</v>
      </c>
      <c r="DN8" s="14">
        <f t="shared" si="2"/>
        <v>0</v>
      </c>
      <c r="DO8" s="14">
        <f t="shared" si="2"/>
        <v>0</v>
      </c>
      <c r="DP8" s="14">
        <f t="shared" si="2"/>
        <v>0</v>
      </c>
      <c r="DQ8" s="14">
        <f t="shared" si="2"/>
        <v>0</v>
      </c>
      <c r="DR8" s="14">
        <f t="shared" si="3"/>
        <v>0</v>
      </c>
    </row>
    <row r="9" spans="1:123" x14ac:dyDescent="0.25">
      <c r="A9" t="s">
        <v>24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4">
        <f t="shared" si="2"/>
        <v>0</v>
      </c>
      <c r="DG9" s="14">
        <f t="shared" si="2"/>
        <v>0</v>
      </c>
      <c r="DH9" s="14">
        <f t="shared" si="2"/>
        <v>0</v>
      </c>
      <c r="DI9" s="14">
        <f t="shared" si="2"/>
        <v>0</v>
      </c>
      <c r="DJ9" s="14">
        <f t="shared" si="2"/>
        <v>0</v>
      </c>
      <c r="DK9" s="14">
        <f t="shared" si="2"/>
        <v>0</v>
      </c>
      <c r="DL9" s="14">
        <f t="shared" si="2"/>
        <v>0</v>
      </c>
      <c r="DM9" s="14">
        <f t="shared" si="2"/>
        <v>0</v>
      </c>
      <c r="DN9" s="14">
        <f t="shared" si="2"/>
        <v>0</v>
      </c>
      <c r="DO9" s="14">
        <f t="shared" si="2"/>
        <v>0</v>
      </c>
      <c r="DP9" s="14">
        <f t="shared" si="2"/>
        <v>0</v>
      </c>
      <c r="DQ9" s="14">
        <f t="shared" si="2"/>
        <v>0</v>
      </c>
      <c r="DR9" s="14">
        <f t="shared" si="3"/>
        <v>0</v>
      </c>
    </row>
    <row r="10" spans="1:123" x14ac:dyDescent="0.25">
      <c r="A10" t="s">
        <v>25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4">
        <f t="shared" si="2"/>
        <v>0</v>
      </c>
      <c r="DG10" s="14">
        <f t="shared" si="2"/>
        <v>0</v>
      </c>
      <c r="DH10" s="14">
        <f t="shared" si="2"/>
        <v>0</v>
      </c>
      <c r="DI10" s="14">
        <f t="shared" si="2"/>
        <v>0</v>
      </c>
      <c r="DJ10" s="14">
        <f t="shared" si="2"/>
        <v>0</v>
      </c>
      <c r="DK10" s="14">
        <f t="shared" si="2"/>
        <v>0</v>
      </c>
      <c r="DL10" s="14">
        <f t="shared" si="2"/>
        <v>0</v>
      </c>
      <c r="DM10" s="14">
        <f t="shared" si="2"/>
        <v>0</v>
      </c>
      <c r="DN10" s="14">
        <f t="shared" si="2"/>
        <v>0</v>
      </c>
      <c r="DO10" s="14">
        <f t="shared" si="2"/>
        <v>0</v>
      </c>
      <c r="DP10" s="14">
        <f t="shared" si="2"/>
        <v>0</v>
      </c>
      <c r="DQ10" s="14">
        <f t="shared" si="2"/>
        <v>0</v>
      </c>
      <c r="DR10" s="14">
        <f t="shared" si="3"/>
        <v>0</v>
      </c>
    </row>
    <row r="11" spans="1:123" x14ac:dyDescent="0.25">
      <c r="A11" t="s">
        <v>26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4">
        <f t="shared" si="2"/>
        <v>0</v>
      </c>
      <c r="DG11" s="14">
        <f t="shared" si="2"/>
        <v>0</v>
      </c>
      <c r="DH11" s="14">
        <f t="shared" si="2"/>
        <v>0</v>
      </c>
      <c r="DI11" s="14">
        <f t="shared" si="2"/>
        <v>0</v>
      </c>
      <c r="DJ11" s="14">
        <f t="shared" si="2"/>
        <v>0</v>
      </c>
      <c r="DK11" s="14">
        <f t="shared" si="2"/>
        <v>0</v>
      </c>
      <c r="DL11" s="14">
        <f t="shared" si="2"/>
        <v>0</v>
      </c>
      <c r="DM11" s="14">
        <f t="shared" si="2"/>
        <v>0</v>
      </c>
      <c r="DN11" s="14">
        <f t="shared" si="2"/>
        <v>0</v>
      </c>
      <c r="DO11" s="14">
        <f t="shared" si="2"/>
        <v>0</v>
      </c>
      <c r="DP11" s="14">
        <f t="shared" si="2"/>
        <v>0</v>
      </c>
      <c r="DQ11" s="14">
        <f t="shared" si="2"/>
        <v>0</v>
      </c>
      <c r="DR11" s="14">
        <f t="shared" si="3"/>
        <v>0</v>
      </c>
    </row>
    <row r="12" spans="1:123" x14ac:dyDescent="0.25">
      <c r="A12" t="s">
        <v>27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4">
        <f t="shared" si="2"/>
        <v>0</v>
      </c>
      <c r="DG12" s="14">
        <f t="shared" si="2"/>
        <v>0</v>
      </c>
      <c r="DH12" s="14">
        <f t="shared" si="2"/>
        <v>0</v>
      </c>
      <c r="DI12" s="14">
        <f t="shared" si="2"/>
        <v>0</v>
      </c>
      <c r="DJ12" s="14">
        <f t="shared" si="2"/>
        <v>0</v>
      </c>
      <c r="DK12" s="14">
        <f t="shared" si="2"/>
        <v>0</v>
      </c>
      <c r="DL12" s="14">
        <f t="shared" si="2"/>
        <v>0</v>
      </c>
      <c r="DM12" s="14">
        <f t="shared" si="2"/>
        <v>0</v>
      </c>
      <c r="DN12" s="14">
        <f t="shared" si="2"/>
        <v>0</v>
      </c>
      <c r="DO12" s="14">
        <f t="shared" si="2"/>
        <v>0</v>
      </c>
      <c r="DP12" s="14">
        <f t="shared" si="2"/>
        <v>0</v>
      </c>
      <c r="DQ12" s="14">
        <f t="shared" si="2"/>
        <v>0</v>
      </c>
      <c r="DR12" s="14">
        <f t="shared" si="3"/>
        <v>0</v>
      </c>
    </row>
    <row r="13" spans="1:123" x14ac:dyDescent="0.25">
      <c r="A13" t="s">
        <v>31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4">
        <f t="shared" si="2"/>
        <v>0</v>
      </c>
      <c r="DG13" s="14">
        <f t="shared" si="2"/>
        <v>0</v>
      </c>
      <c r="DH13" s="14">
        <f t="shared" si="2"/>
        <v>0</v>
      </c>
      <c r="DI13" s="14">
        <f t="shared" si="2"/>
        <v>0</v>
      </c>
      <c r="DJ13" s="14">
        <f t="shared" si="2"/>
        <v>0</v>
      </c>
      <c r="DK13" s="14">
        <f t="shared" si="2"/>
        <v>0</v>
      </c>
      <c r="DL13" s="14">
        <f t="shared" si="2"/>
        <v>0</v>
      </c>
      <c r="DM13" s="14">
        <f t="shared" si="2"/>
        <v>0</v>
      </c>
      <c r="DN13" s="14">
        <f t="shared" si="2"/>
        <v>0</v>
      </c>
      <c r="DO13" s="14">
        <f t="shared" si="2"/>
        <v>0</v>
      </c>
      <c r="DP13" s="14">
        <f t="shared" si="2"/>
        <v>0</v>
      </c>
      <c r="DQ13" s="14">
        <f t="shared" si="2"/>
        <v>0</v>
      </c>
      <c r="DR13" s="14">
        <f t="shared" si="3"/>
        <v>0</v>
      </c>
    </row>
    <row r="14" spans="1:123" x14ac:dyDescent="0.25">
      <c r="A14" t="s">
        <v>32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4">
        <f t="shared" si="2"/>
        <v>0</v>
      </c>
      <c r="DG14" s="14">
        <f t="shared" si="2"/>
        <v>0</v>
      </c>
      <c r="DH14" s="14">
        <f t="shared" si="2"/>
        <v>0</v>
      </c>
      <c r="DI14" s="14">
        <f t="shared" si="2"/>
        <v>0</v>
      </c>
      <c r="DJ14" s="14">
        <f t="shared" si="2"/>
        <v>0</v>
      </c>
      <c r="DK14" s="14">
        <f t="shared" si="2"/>
        <v>0</v>
      </c>
      <c r="DL14" s="14">
        <f t="shared" si="2"/>
        <v>0</v>
      </c>
      <c r="DM14" s="14">
        <f t="shared" si="2"/>
        <v>0</v>
      </c>
      <c r="DN14" s="14">
        <f t="shared" si="2"/>
        <v>0</v>
      </c>
      <c r="DO14" s="14">
        <f t="shared" si="2"/>
        <v>0</v>
      </c>
      <c r="DP14" s="14">
        <f t="shared" si="2"/>
        <v>0</v>
      </c>
      <c r="DQ14" s="14">
        <f t="shared" si="2"/>
        <v>0</v>
      </c>
      <c r="DR14" s="14">
        <f t="shared" si="3"/>
        <v>0</v>
      </c>
    </row>
    <row r="15" spans="1:123" x14ac:dyDescent="0.25">
      <c r="A15" t="s">
        <v>28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4">
        <f t="shared" si="2"/>
        <v>0</v>
      </c>
      <c r="DG15" s="14">
        <f t="shared" si="2"/>
        <v>0</v>
      </c>
      <c r="DH15" s="14">
        <f t="shared" si="2"/>
        <v>0</v>
      </c>
      <c r="DI15" s="14">
        <f t="shared" si="2"/>
        <v>0</v>
      </c>
      <c r="DJ15" s="14">
        <f t="shared" si="2"/>
        <v>0</v>
      </c>
      <c r="DK15" s="14">
        <f t="shared" si="2"/>
        <v>0</v>
      </c>
      <c r="DL15" s="14">
        <f t="shared" si="2"/>
        <v>0</v>
      </c>
      <c r="DM15" s="14">
        <f t="shared" si="2"/>
        <v>0</v>
      </c>
      <c r="DN15" s="14">
        <f t="shared" si="2"/>
        <v>0</v>
      </c>
      <c r="DO15" s="14">
        <f t="shared" si="2"/>
        <v>0</v>
      </c>
      <c r="DP15" s="14">
        <f t="shared" si="2"/>
        <v>0</v>
      </c>
      <c r="DQ15" s="14">
        <f t="shared" si="2"/>
        <v>0</v>
      </c>
      <c r="DR15" s="14">
        <f t="shared" si="3"/>
        <v>0</v>
      </c>
    </row>
    <row r="16" spans="1:123" x14ac:dyDescent="0.25">
      <c r="A16" t="s">
        <v>29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4">
        <f t="shared" si="2"/>
        <v>0</v>
      </c>
      <c r="DG16" s="14">
        <f t="shared" si="2"/>
        <v>0</v>
      </c>
      <c r="DH16" s="14">
        <f t="shared" si="2"/>
        <v>0</v>
      </c>
      <c r="DI16" s="14">
        <f t="shared" si="2"/>
        <v>0</v>
      </c>
      <c r="DJ16" s="14">
        <f t="shared" si="2"/>
        <v>0</v>
      </c>
      <c r="DK16" s="14">
        <f t="shared" si="2"/>
        <v>0</v>
      </c>
      <c r="DL16" s="14">
        <f t="shared" si="2"/>
        <v>0</v>
      </c>
      <c r="DM16" s="14">
        <f t="shared" si="2"/>
        <v>0</v>
      </c>
      <c r="DN16" s="14">
        <f t="shared" si="2"/>
        <v>0</v>
      </c>
      <c r="DO16" s="14">
        <f t="shared" si="2"/>
        <v>0</v>
      </c>
      <c r="DP16" s="14">
        <f t="shared" si="2"/>
        <v>0</v>
      </c>
      <c r="DQ16" s="14">
        <f t="shared" si="2"/>
        <v>0</v>
      </c>
      <c r="DR16" s="14">
        <f t="shared" si="3"/>
        <v>0</v>
      </c>
    </row>
    <row r="17" spans="1:122" x14ac:dyDescent="0.25">
      <c r="A17" t="s">
        <v>33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4">
        <f t="shared" si="2"/>
        <v>0</v>
      </c>
      <c r="DG17" s="14">
        <f t="shared" si="2"/>
        <v>0</v>
      </c>
      <c r="DH17" s="14">
        <f t="shared" si="2"/>
        <v>0</v>
      </c>
      <c r="DI17" s="14">
        <f t="shared" si="2"/>
        <v>0</v>
      </c>
      <c r="DJ17" s="14">
        <f t="shared" si="2"/>
        <v>0</v>
      </c>
      <c r="DK17" s="14">
        <f t="shared" si="2"/>
        <v>0</v>
      </c>
      <c r="DL17" s="14">
        <f t="shared" si="2"/>
        <v>0</v>
      </c>
      <c r="DM17" s="14">
        <f t="shared" si="2"/>
        <v>0</v>
      </c>
      <c r="DN17" s="14">
        <f t="shared" si="2"/>
        <v>0</v>
      </c>
      <c r="DO17" s="14">
        <f t="shared" si="2"/>
        <v>0</v>
      </c>
      <c r="DP17" s="14">
        <f t="shared" si="2"/>
        <v>0</v>
      </c>
      <c r="DQ17" s="14">
        <f t="shared" si="2"/>
        <v>0</v>
      </c>
      <c r="DR17" s="14">
        <f t="shared" si="3"/>
        <v>0</v>
      </c>
    </row>
    <row r="18" spans="1:122" x14ac:dyDescent="0.25">
      <c r="A18" t="s">
        <v>34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4">
        <f t="shared" si="2"/>
        <v>0</v>
      </c>
      <c r="DG18" s="14">
        <f t="shared" si="2"/>
        <v>0</v>
      </c>
      <c r="DH18" s="14">
        <f t="shared" si="2"/>
        <v>0</v>
      </c>
      <c r="DI18" s="14">
        <f t="shared" si="2"/>
        <v>0</v>
      </c>
      <c r="DJ18" s="14">
        <f t="shared" si="2"/>
        <v>0</v>
      </c>
      <c r="DK18" s="14">
        <f t="shared" si="2"/>
        <v>0</v>
      </c>
      <c r="DL18" s="14">
        <f t="shared" si="2"/>
        <v>0</v>
      </c>
      <c r="DM18" s="14">
        <f t="shared" si="2"/>
        <v>0</v>
      </c>
      <c r="DN18" s="14">
        <f t="shared" si="2"/>
        <v>0</v>
      </c>
      <c r="DO18" s="14">
        <f t="shared" si="2"/>
        <v>0</v>
      </c>
      <c r="DP18" s="14">
        <f t="shared" si="2"/>
        <v>0</v>
      </c>
      <c r="DQ18" s="14">
        <f t="shared" si="2"/>
        <v>0</v>
      </c>
      <c r="DR18" s="14">
        <f t="shared" si="3"/>
        <v>0</v>
      </c>
    </row>
    <row r="19" spans="1:122" x14ac:dyDescent="0.25">
      <c r="AO19" s="13"/>
    </row>
  </sheetData>
  <mergeCells count="12">
    <mergeCell ref="AX1:BI1"/>
    <mergeCell ref="A1:A2"/>
    <mergeCell ref="B1:M1"/>
    <mergeCell ref="N1:Y1"/>
    <mergeCell ref="Z1:AJ1"/>
    <mergeCell ref="AL1:AW1"/>
    <mergeCell ref="DQ1:DS1"/>
    <mergeCell ref="BJ1:BU1"/>
    <mergeCell ref="BV1:CG1"/>
    <mergeCell ref="CH1:CS1"/>
    <mergeCell ref="CT1:DE1"/>
    <mergeCell ref="DF1:DP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1A340-C5E5-4D79-9EAF-3856B40920BB}">
  <sheetPr codeName="Planilha8"/>
  <dimension ref="A1:X19"/>
  <sheetViews>
    <sheetView zoomScaleNormal="100" workbookViewId="0">
      <selection activeCell="K3" sqref="K3"/>
    </sheetView>
  </sheetViews>
  <sheetFormatPr defaultRowHeight="15" x14ac:dyDescent="0.25"/>
  <cols>
    <col min="1" max="1" width="71.5703125" bestFit="1" customWidth="1"/>
    <col min="2" max="2" width="10.85546875" customWidth="1"/>
    <col min="3" max="3" width="6.140625" bestFit="1" customWidth="1"/>
    <col min="4" max="4" width="4" bestFit="1" customWidth="1"/>
    <col min="5" max="5" width="3" bestFit="1" customWidth="1"/>
    <col min="6" max="6" width="6.140625" bestFit="1" customWidth="1"/>
    <col min="7" max="7" width="4.28515625" bestFit="1" customWidth="1"/>
    <col min="8" max="8" width="5.5703125" bestFit="1" customWidth="1"/>
    <col min="9" max="9" width="4" customWidth="1"/>
    <col min="10" max="10" width="15.28515625" customWidth="1"/>
    <col min="11" max="11" width="4.28515625" customWidth="1"/>
    <col min="12" max="12" width="5.5703125" customWidth="1"/>
    <col min="13" max="13" width="4.140625" customWidth="1"/>
    <col min="14" max="14" width="5.28515625" customWidth="1"/>
    <col min="15" max="15" width="6.28515625" customWidth="1"/>
    <col min="16" max="16" width="5" customWidth="1"/>
    <col min="17" max="17" width="4.42578125" customWidth="1"/>
    <col min="18" max="18" width="6.140625" customWidth="1"/>
    <col min="19" max="19" width="3.85546875" customWidth="1"/>
    <col min="20" max="21" width="5.28515625" customWidth="1"/>
    <col min="22" max="22" width="6.7109375" customWidth="1"/>
  </cols>
  <sheetData>
    <row r="1" spans="1:24" x14ac:dyDescent="0.25">
      <c r="A1" s="21" t="s">
        <v>35</v>
      </c>
      <c r="B1" s="28" t="s">
        <v>62</v>
      </c>
      <c r="C1" s="26"/>
      <c r="D1" s="28" t="s">
        <v>61</v>
      </c>
      <c r="E1" s="26"/>
      <c r="F1" s="26"/>
      <c r="G1" s="26"/>
      <c r="H1" s="27"/>
      <c r="I1" s="28" t="s">
        <v>63</v>
      </c>
      <c r="J1" s="27"/>
      <c r="K1" s="23" t="s">
        <v>17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6"/>
      <c r="W1" s="26"/>
      <c r="X1" s="26"/>
    </row>
    <row r="2" spans="1:24" x14ac:dyDescent="0.25">
      <c r="A2" s="22"/>
      <c r="B2" s="10" t="s">
        <v>39</v>
      </c>
      <c r="C2" s="10" t="s">
        <v>42</v>
      </c>
      <c r="D2" s="10" t="s">
        <v>39</v>
      </c>
      <c r="E2" s="10" t="s">
        <v>44</v>
      </c>
      <c r="F2" s="10" t="s">
        <v>42</v>
      </c>
      <c r="G2" s="10" t="s">
        <v>38</v>
      </c>
      <c r="H2" s="10" t="s">
        <v>37</v>
      </c>
      <c r="I2" s="10" t="s">
        <v>39</v>
      </c>
      <c r="J2" s="10" t="s">
        <v>37</v>
      </c>
      <c r="K2" s="15" t="s">
        <v>39</v>
      </c>
      <c r="L2" s="15" t="s">
        <v>40</v>
      </c>
      <c r="M2" s="15" t="s">
        <v>44</v>
      </c>
      <c r="N2" s="15" t="s">
        <v>20</v>
      </c>
      <c r="O2" s="15" t="s">
        <v>45</v>
      </c>
      <c r="P2" s="15" t="s">
        <v>42</v>
      </c>
      <c r="Q2" s="15" t="s">
        <v>43</v>
      </c>
      <c r="R2" s="15" t="s">
        <v>36</v>
      </c>
      <c r="S2" s="15" t="s">
        <v>46</v>
      </c>
      <c r="T2" s="15" t="s">
        <v>38</v>
      </c>
      <c r="U2" s="15" t="s">
        <v>41</v>
      </c>
      <c r="V2" s="15" t="s">
        <v>37</v>
      </c>
      <c r="W2" s="16" t="s">
        <v>17</v>
      </c>
    </row>
    <row r="3" spans="1:24" x14ac:dyDescent="0.25">
      <c r="A3" s="12" t="s">
        <v>17</v>
      </c>
      <c r="B3" s="10">
        <f t="shared" ref="B3:J3" si="0">SUM(B4:B18)</f>
        <v>8</v>
      </c>
      <c r="C3" s="10">
        <f t="shared" ref="C3" si="1">SUM(C4:C18)</f>
        <v>10</v>
      </c>
      <c r="D3" s="10">
        <f t="shared" si="0"/>
        <v>1</v>
      </c>
      <c r="E3" s="10">
        <f t="shared" si="0"/>
        <v>3</v>
      </c>
      <c r="F3" s="10">
        <f t="shared" si="0"/>
        <v>3</v>
      </c>
      <c r="G3" s="10">
        <f t="shared" si="0"/>
        <v>3</v>
      </c>
      <c r="H3" s="10">
        <f t="shared" si="0"/>
        <v>13</v>
      </c>
      <c r="I3" s="10">
        <f t="shared" si="0"/>
        <v>12</v>
      </c>
      <c r="J3" s="10">
        <f t="shared" si="0"/>
        <v>12</v>
      </c>
      <c r="K3" s="14">
        <f>B3+D3+I3</f>
        <v>21</v>
      </c>
      <c r="L3" s="14"/>
      <c r="M3" s="14">
        <f>E3</f>
        <v>3</v>
      </c>
      <c r="N3" s="14"/>
      <c r="O3" s="14"/>
      <c r="P3" s="14">
        <f>C3+F3</f>
        <v>13</v>
      </c>
      <c r="Q3" s="14"/>
      <c r="R3" s="14"/>
      <c r="S3" s="14"/>
      <c r="T3" s="14">
        <f>G3</f>
        <v>3</v>
      </c>
      <c r="U3" s="14"/>
      <c r="V3" s="14">
        <f>H3+J3</f>
        <v>25</v>
      </c>
      <c r="W3" s="14">
        <f>SUM(K3:V3)</f>
        <v>65</v>
      </c>
    </row>
    <row r="4" spans="1:24" x14ac:dyDescent="0.25">
      <c r="A4" t="s">
        <v>21</v>
      </c>
      <c r="B4" s="10"/>
      <c r="C4" s="10"/>
      <c r="D4" s="10"/>
      <c r="E4" s="10"/>
      <c r="F4" s="10"/>
      <c r="G4" s="10"/>
      <c r="H4" s="10"/>
      <c r="I4" s="10"/>
      <c r="J4" s="10"/>
      <c r="K4" s="14">
        <f t="shared" ref="K4:K18" si="2">B4+D4+I4</f>
        <v>0</v>
      </c>
      <c r="L4" s="14"/>
      <c r="M4" s="14">
        <f t="shared" ref="M4:M18" si="3">E4</f>
        <v>0</v>
      </c>
      <c r="N4" s="14"/>
      <c r="O4" s="14"/>
      <c r="P4" s="14">
        <f t="shared" ref="P4:P18" si="4">C4+F4</f>
        <v>0</v>
      </c>
      <c r="Q4" s="14"/>
      <c r="R4" s="14"/>
      <c r="S4" s="14"/>
      <c r="T4" s="14">
        <f t="shared" ref="T4:T18" si="5">G4</f>
        <v>0</v>
      </c>
      <c r="U4" s="14"/>
      <c r="V4" s="14">
        <f t="shared" ref="V4:V18" si="6">H4+J4</f>
        <v>0</v>
      </c>
      <c r="W4" s="14">
        <f t="shared" ref="W4:W18" si="7">SUM(K4:V4)</f>
        <v>0</v>
      </c>
    </row>
    <row r="5" spans="1:24" x14ac:dyDescent="0.25">
      <c r="A5" t="s">
        <v>22</v>
      </c>
      <c r="B5" s="10"/>
      <c r="C5" s="10"/>
      <c r="D5" s="10"/>
      <c r="E5" s="10"/>
      <c r="F5" s="10"/>
      <c r="G5" s="10"/>
      <c r="H5" s="10"/>
      <c r="I5" s="10"/>
      <c r="J5" s="10"/>
      <c r="K5" s="14">
        <f t="shared" si="2"/>
        <v>0</v>
      </c>
      <c r="L5" s="14"/>
      <c r="M5" s="14">
        <f t="shared" si="3"/>
        <v>0</v>
      </c>
      <c r="N5" s="14"/>
      <c r="O5" s="14"/>
      <c r="P5" s="14">
        <f t="shared" si="4"/>
        <v>0</v>
      </c>
      <c r="Q5" s="14"/>
      <c r="R5" s="14"/>
      <c r="S5" s="14"/>
      <c r="T5" s="14">
        <f t="shared" si="5"/>
        <v>0</v>
      </c>
      <c r="U5" s="14"/>
      <c r="V5" s="14">
        <f t="shared" si="6"/>
        <v>0</v>
      </c>
      <c r="W5" s="14">
        <f t="shared" si="7"/>
        <v>0</v>
      </c>
    </row>
    <row r="6" spans="1:24" x14ac:dyDescent="0.25">
      <c r="A6" t="s">
        <v>23</v>
      </c>
      <c r="B6" s="10">
        <v>6</v>
      </c>
      <c r="C6" s="10">
        <v>7</v>
      </c>
      <c r="D6" s="10">
        <v>1</v>
      </c>
      <c r="E6" s="10">
        <v>2</v>
      </c>
      <c r="F6" s="10">
        <v>2</v>
      </c>
      <c r="G6" s="10">
        <v>2</v>
      </c>
      <c r="H6" s="10">
        <v>10</v>
      </c>
      <c r="I6" s="10">
        <v>8</v>
      </c>
      <c r="J6" s="10">
        <v>10</v>
      </c>
      <c r="K6" s="14">
        <f t="shared" si="2"/>
        <v>15</v>
      </c>
      <c r="L6" s="14"/>
      <c r="M6" s="14">
        <f t="shared" si="3"/>
        <v>2</v>
      </c>
      <c r="N6" s="14"/>
      <c r="O6" s="14"/>
      <c r="P6" s="14">
        <f t="shared" si="4"/>
        <v>9</v>
      </c>
      <c r="Q6" s="14"/>
      <c r="R6" s="14"/>
      <c r="S6" s="14"/>
      <c r="T6" s="14">
        <f t="shared" si="5"/>
        <v>2</v>
      </c>
      <c r="U6" s="14"/>
      <c r="V6" s="14">
        <f t="shared" si="6"/>
        <v>20</v>
      </c>
      <c r="W6" s="14">
        <f t="shared" si="7"/>
        <v>48</v>
      </c>
    </row>
    <row r="7" spans="1:24" x14ac:dyDescent="0.25">
      <c r="A7" t="s">
        <v>59</v>
      </c>
      <c r="B7" s="10"/>
      <c r="C7" s="10"/>
      <c r="D7" s="10"/>
      <c r="E7" s="10"/>
      <c r="F7" s="10"/>
      <c r="G7" s="10"/>
      <c r="H7" s="10"/>
      <c r="I7" s="10"/>
      <c r="J7" s="10"/>
      <c r="K7" s="14">
        <f t="shared" si="2"/>
        <v>0</v>
      </c>
      <c r="L7" s="14"/>
      <c r="M7" s="14">
        <f t="shared" si="3"/>
        <v>0</v>
      </c>
      <c r="N7" s="14"/>
      <c r="O7" s="14"/>
      <c r="P7" s="14">
        <f t="shared" si="4"/>
        <v>0</v>
      </c>
      <c r="Q7" s="14"/>
      <c r="R7" s="14"/>
      <c r="S7" s="14"/>
      <c r="T7" s="14">
        <f t="shared" si="5"/>
        <v>0</v>
      </c>
      <c r="U7" s="14"/>
      <c r="V7" s="14">
        <f t="shared" si="6"/>
        <v>0</v>
      </c>
      <c r="W7" s="14">
        <f t="shared" si="7"/>
        <v>0</v>
      </c>
    </row>
    <row r="8" spans="1:24" x14ac:dyDescent="0.25">
      <c r="A8" t="s">
        <v>30</v>
      </c>
      <c r="B8" s="10"/>
      <c r="C8" s="10"/>
      <c r="D8" s="10"/>
      <c r="E8" s="10"/>
      <c r="F8" s="10"/>
      <c r="G8" s="10"/>
      <c r="H8" s="10"/>
      <c r="I8" s="10"/>
      <c r="J8" s="10"/>
      <c r="K8" s="14">
        <f t="shared" si="2"/>
        <v>0</v>
      </c>
      <c r="L8" s="14"/>
      <c r="M8" s="14">
        <f t="shared" si="3"/>
        <v>0</v>
      </c>
      <c r="N8" s="14"/>
      <c r="O8" s="14"/>
      <c r="P8" s="14">
        <f t="shared" si="4"/>
        <v>0</v>
      </c>
      <c r="Q8" s="14"/>
      <c r="R8" s="14"/>
      <c r="S8" s="14"/>
      <c r="T8" s="14">
        <f t="shared" si="5"/>
        <v>0</v>
      </c>
      <c r="U8" s="14"/>
      <c r="V8" s="14">
        <f t="shared" si="6"/>
        <v>0</v>
      </c>
      <c r="W8" s="14">
        <f t="shared" si="7"/>
        <v>0</v>
      </c>
    </row>
    <row r="9" spans="1:24" x14ac:dyDescent="0.25">
      <c r="A9" t="s">
        <v>24</v>
      </c>
      <c r="B9" s="10"/>
      <c r="C9" s="10"/>
      <c r="D9" s="10"/>
      <c r="E9" s="10"/>
      <c r="F9" s="10"/>
      <c r="G9" s="10"/>
      <c r="H9" s="10"/>
      <c r="I9" s="10"/>
      <c r="J9" s="10"/>
      <c r="K9" s="14">
        <f t="shared" si="2"/>
        <v>0</v>
      </c>
      <c r="L9" s="14"/>
      <c r="M9" s="14">
        <f t="shared" si="3"/>
        <v>0</v>
      </c>
      <c r="N9" s="14"/>
      <c r="O9" s="14"/>
      <c r="P9" s="14">
        <f t="shared" si="4"/>
        <v>0</v>
      </c>
      <c r="Q9" s="14"/>
      <c r="R9" s="14"/>
      <c r="S9" s="14"/>
      <c r="T9" s="14">
        <f t="shared" si="5"/>
        <v>0</v>
      </c>
      <c r="U9" s="14"/>
      <c r="V9" s="14">
        <f t="shared" si="6"/>
        <v>0</v>
      </c>
      <c r="W9" s="14">
        <f t="shared" si="7"/>
        <v>0</v>
      </c>
    </row>
    <row r="10" spans="1:24" x14ac:dyDescent="0.25">
      <c r="A10" t="s">
        <v>25</v>
      </c>
      <c r="B10" s="10"/>
      <c r="C10" s="10"/>
      <c r="D10" s="10"/>
      <c r="E10" s="10"/>
      <c r="F10" s="10"/>
      <c r="G10" s="10"/>
      <c r="H10" s="10"/>
      <c r="I10" s="10"/>
      <c r="J10" s="10"/>
      <c r="K10" s="14">
        <f t="shared" si="2"/>
        <v>0</v>
      </c>
      <c r="L10" s="14"/>
      <c r="M10" s="14">
        <f t="shared" si="3"/>
        <v>0</v>
      </c>
      <c r="N10" s="14"/>
      <c r="O10" s="14"/>
      <c r="P10" s="14">
        <f t="shared" si="4"/>
        <v>0</v>
      </c>
      <c r="Q10" s="14"/>
      <c r="R10" s="14"/>
      <c r="S10" s="14"/>
      <c r="T10" s="14">
        <f t="shared" si="5"/>
        <v>0</v>
      </c>
      <c r="U10" s="14"/>
      <c r="V10" s="14">
        <f t="shared" si="6"/>
        <v>0</v>
      </c>
      <c r="W10" s="14">
        <f t="shared" si="7"/>
        <v>0</v>
      </c>
    </row>
    <row r="11" spans="1:24" x14ac:dyDescent="0.25">
      <c r="A11" t="s">
        <v>26</v>
      </c>
      <c r="B11" s="10">
        <v>2</v>
      </c>
      <c r="C11" s="10">
        <v>3</v>
      </c>
      <c r="D11" s="10"/>
      <c r="E11" s="10">
        <v>1</v>
      </c>
      <c r="F11" s="10">
        <v>1</v>
      </c>
      <c r="G11" s="10">
        <v>1</v>
      </c>
      <c r="H11" s="10">
        <v>3</v>
      </c>
      <c r="I11" s="10">
        <v>4</v>
      </c>
      <c r="J11" s="10">
        <v>2</v>
      </c>
      <c r="K11" s="14">
        <f t="shared" si="2"/>
        <v>6</v>
      </c>
      <c r="L11" s="14"/>
      <c r="M11" s="14">
        <f t="shared" si="3"/>
        <v>1</v>
      </c>
      <c r="N11" s="14"/>
      <c r="O11" s="14"/>
      <c r="P11" s="14">
        <f t="shared" si="4"/>
        <v>4</v>
      </c>
      <c r="Q11" s="14"/>
      <c r="R11" s="14"/>
      <c r="S11" s="14"/>
      <c r="T11" s="14">
        <f t="shared" si="5"/>
        <v>1</v>
      </c>
      <c r="U11" s="14"/>
      <c r="V11" s="14">
        <f t="shared" si="6"/>
        <v>5</v>
      </c>
      <c r="W11" s="14">
        <f t="shared" si="7"/>
        <v>17</v>
      </c>
    </row>
    <row r="12" spans="1:24" x14ac:dyDescent="0.25">
      <c r="A12" t="s">
        <v>27</v>
      </c>
      <c r="B12" s="10"/>
      <c r="C12" s="10"/>
      <c r="D12" s="10"/>
      <c r="E12" s="10"/>
      <c r="F12" s="10"/>
      <c r="G12" s="10"/>
      <c r="H12" s="10"/>
      <c r="I12" s="10"/>
      <c r="J12" s="10"/>
      <c r="K12" s="14">
        <f t="shared" si="2"/>
        <v>0</v>
      </c>
      <c r="L12" s="14"/>
      <c r="M12" s="14">
        <f t="shared" si="3"/>
        <v>0</v>
      </c>
      <c r="N12" s="14"/>
      <c r="O12" s="14"/>
      <c r="P12" s="14">
        <f t="shared" si="4"/>
        <v>0</v>
      </c>
      <c r="Q12" s="14"/>
      <c r="R12" s="14"/>
      <c r="S12" s="14"/>
      <c r="T12" s="14">
        <f t="shared" si="5"/>
        <v>0</v>
      </c>
      <c r="U12" s="14"/>
      <c r="V12" s="14">
        <f t="shared" si="6"/>
        <v>0</v>
      </c>
      <c r="W12" s="14">
        <f t="shared" si="7"/>
        <v>0</v>
      </c>
    </row>
    <row r="13" spans="1:24" x14ac:dyDescent="0.25">
      <c r="A13" t="s">
        <v>31</v>
      </c>
      <c r="B13" s="10"/>
      <c r="C13" s="10"/>
      <c r="D13" s="10"/>
      <c r="E13" s="10"/>
      <c r="F13" s="10"/>
      <c r="G13" s="10"/>
      <c r="H13" s="10"/>
      <c r="I13" s="10"/>
      <c r="J13" s="10"/>
      <c r="K13" s="14">
        <f t="shared" si="2"/>
        <v>0</v>
      </c>
      <c r="L13" s="14"/>
      <c r="M13" s="14">
        <f t="shared" si="3"/>
        <v>0</v>
      </c>
      <c r="N13" s="14"/>
      <c r="O13" s="14"/>
      <c r="P13" s="14">
        <f t="shared" si="4"/>
        <v>0</v>
      </c>
      <c r="Q13" s="14"/>
      <c r="R13" s="14"/>
      <c r="S13" s="14"/>
      <c r="T13" s="14">
        <f t="shared" si="5"/>
        <v>0</v>
      </c>
      <c r="U13" s="14"/>
      <c r="V13" s="14">
        <f t="shared" si="6"/>
        <v>0</v>
      </c>
      <c r="W13" s="14">
        <f t="shared" si="7"/>
        <v>0</v>
      </c>
    </row>
    <row r="14" spans="1:24" x14ac:dyDescent="0.25">
      <c r="A14" t="s">
        <v>32</v>
      </c>
      <c r="B14" s="10"/>
      <c r="C14" s="10"/>
      <c r="D14" s="10"/>
      <c r="E14" s="10"/>
      <c r="F14" s="10"/>
      <c r="G14" s="10"/>
      <c r="H14" s="10"/>
      <c r="I14" s="10"/>
      <c r="J14" s="10"/>
      <c r="K14" s="14">
        <f t="shared" si="2"/>
        <v>0</v>
      </c>
      <c r="L14" s="14"/>
      <c r="M14" s="14">
        <f t="shared" si="3"/>
        <v>0</v>
      </c>
      <c r="N14" s="14"/>
      <c r="O14" s="14"/>
      <c r="P14" s="14">
        <f t="shared" si="4"/>
        <v>0</v>
      </c>
      <c r="Q14" s="14"/>
      <c r="R14" s="14"/>
      <c r="S14" s="14"/>
      <c r="T14" s="14">
        <f t="shared" si="5"/>
        <v>0</v>
      </c>
      <c r="U14" s="14"/>
      <c r="V14" s="14">
        <f t="shared" si="6"/>
        <v>0</v>
      </c>
      <c r="W14" s="14">
        <f t="shared" si="7"/>
        <v>0</v>
      </c>
    </row>
    <row r="15" spans="1:24" x14ac:dyDescent="0.25">
      <c r="A15" t="s">
        <v>28</v>
      </c>
      <c r="B15" s="10"/>
      <c r="C15" s="10"/>
      <c r="D15" s="10"/>
      <c r="E15" s="10"/>
      <c r="F15" s="10"/>
      <c r="G15" s="10"/>
      <c r="H15" s="10"/>
      <c r="I15" s="10"/>
      <c r="J15" s="10"/>
      <c r="K15" s="14">
        <f t="shared" si="2"/>
        <v>0</v>
      </c>
      <c r="L15" s="14"/>
      <c r="M15" s="14">
        <f t="shared" si="3"/>
        <v>0</v>
      </c>
      <c r="N15" s="14"/>
      <c r="O15" s="14"/>
      <c r="P15" s="14">
        <f t="shared" si="4"/>
        <v>0</v>
      </c>
      <c r="Q15" s="14"/>
      <c r="R15" s="14"/>
      <c r="S15" s="14"/>
      <c r="T15" s="14">
        <f t="shared" si="5"/>
        <v>0</v>
      </c>
      <c r="U15" s="14"/>
      <c r="V15" s="14">
        <f t="shared" si="6"/>
        <v>0</v>
      </c>
      <c r="W15" s="14">
        <f t="shared" si="7"/>
        <v>0</v>
      </c>
    </row>
    <row r="16" spans="1:24" x14ac:dyDescent="0.25">
      <c r="A16" t="s">
        <v>29</v>
      </c>
      <c r="B16" s="10"/>
      <c r="C16" s="10"/>
      <c r="D16" s="10"/>
      <c r="E16" s="10"/>
      <c r="F16" s="10"/>
      <c r="G16" s="10"/>
      <c r="H16" s="10"/>
      <c r="I16" s="10"/>
      <c r="J16" s="10"/>
      <c r="K16" s="14">
        <f t="shared" si="2"/>
        <v>0</v>
      </c>
      <c r="L16" s="14"/>
      <c r="M16" s="14">
        <f t="shared" si="3"/>
        <v>0</v>
      </c>
      <c r="N16" s="14"/>
      <c r="O16" s="14"/>
      <c r="P16" s="14">
        <f t="shared" si="4"/>
        <v>0</v>
      </c>
      <c r="Q16" s="14"/>
      <c r="R16" s="14"/>
      <c r="S16" s="14"/>
      <c r="T16" s="14">
        <f t="shared" si="5"/>
        <v>0</v>
      </c>
      <c r="U16" s="14"/>
      <c r="V16" s="14">
        <f t="shared" si="6"/>
        <v>0</v>
      </c>
      <c r="W16" s="14">
        <f t="shared" si="7"/>
        <v>0</v>
      </c>
    </row>
    <row r="17" spans="1:23" x14ac:dyDescent="0.25">
      <c r="A17" t="s">
        <v>33</v>
      </c>
      <c r="B17" s="10"/>
      <c r="C17" s="10"/>
      <c r="D17" s="10"/>
      <c r="E17" s="10"/>
      <c r="F17" s="10"/>
      <c r="G17" s="10"/>
      <c r="H17" s="10"/>
      <c r="I17" s="10"/>
      <c r="J17" s="10"/>
      <c r="K17" s="14">
        <f t="shared" si="2"/>
        <v>0</v>
      </c>
      <c r="L17" s="14"/>
      <c r="M17" s="14">
        <f t="shared" si="3"/>
        <v>0</v>
      </c>
      <c r="N17" s="14"/>
      <c r="O17" s="14"/>
      <c r="P17" s="14">
        <f t="shared" si="4"/>
        <v>0</v>
      </c>
      <c r="Q17" s="14"/>
      <c r="R17" s="14"/>
      <c r="S17" s="14"/>
      <c r="T17" s="14">
        <f t="shared" si="5"/>
        <v>0</v>
      </c>
      <c r="U17" s="14"/>
      <c r="V17" s="14">
        <f t="shared" si="6"/>
        <v>0</v>
      </c>
      <c r="W17" s="14">
        <f t="shared" si="7"/>
        <v>0</v>
      </c>
    </row>
    <row r="18" spans="1:23" x14ac:dyDescent="0.25">
      <c r="A18" t="s">
        <v>34</v>
      </c>
      <c r="B18" s="10"/>
      <c r="C18" s="10"/>
      <c r="D18" s="10"/>
      <c r="E18" s="10"/>
      <c r="F18" s="10"/>
      <c r="G18" s="10"/>
      <c r="H18" s="10"/>
      <c r="I18" s="10"/>
      <c r="J18" s="10"/>
      <c r="K18" s="14">
        <f t="shared" si="2"/>
        <v>0</v>
      </c>
      <c r="L18" s="14"/>
      <c r="M18" s="14">
        <f t="shared" si="3"/>
        <v>0</v>
      </c>
      <c r="N18" s="14"/>
      <c r="O18" s="14"/>
      <c r="P18" s="14">
        <f t="shared" si="4"/>
        <v>0</v>
      </c>
      <c r="Q18" s="14"/>
      <c r="R18" s="14"/>
      <c r="S18" s="14"/>
      <c r="T18" s="14">
        <f t="shared" si="5"/>
        <v>0</v>
      </c>
      <c r="U18" s="14"/>
      <c r="V18" s="14">
        <f t="shared" si="6"/>
        <v>0</v>
      </c>
      <c r="W18" s="14">
        <f t="shared" si="7"/>
        <v>0</v>
      </c>
    </row>
    <row r="19" spans="1:23" x14ac:dyDescent="0.25">
      <c r="W19" s="13"/>
    </row>
  </sheetData>
  <mergeCells count="6">
    <mergeCell ref="A1:A2"/>
    <mergeCell ref="K1:U1"/>
    <mergeCell ref="V1:X1"/>
    <mergeCell ref="D1:H1"/>
    <mergeCell ref="I1:J1"/>
    <mergeCell ref="B1:C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80FACE-221B-44B4-AEF5-60888A9DAB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Faltas</vt:lpstr>
      <vt:lpstr>Competencia</vt:lpstr>
      <vt:lpstr>2025</vt:lpstr>
      <vt:lpstr>2024</vt:lpstr>
      <vt:lpstr>Neomater</vt:lpstr>
      <vt:lpstr>Neotin</vt:lpstr>
      <vt:lpstr>ProntoBaby</vt:lpstr>
      <vt:lpstr>Seg 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 Alves</dc:creator>
  <cp:lastModifiedBy>Davi Alves</cp:lastModifiedBy>
  <dcterms:created xsi:type="dcterms:W3CDTF">2015-06-05T18:19:34Z</dcterms:created>
  <dcterms:modified xsi:type="dcterms:W3CDTF">2026-01-05T18:18:55Z</dcterms:modified>
</cp:coreProperties>
</file>