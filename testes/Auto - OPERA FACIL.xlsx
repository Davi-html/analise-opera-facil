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BSERVATORIO\PROJETOS\BI e Afins\Opera facil\"/>
    </mc:Choice>
  </mc:AlternateContent>
  <xr:revisionPtr revIDLastSave="0" documentId="13_ncr:1_{32E30518-FD87-4D6F-86F0-520320C5B7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5" sheetId="2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3" l="1"/>
  <c r="D2" i="23"/>
  <c r="E2" i="23"/>
  <c r="F2" i="23"/>
  <c r="G2" i="23"/>
  <c r="H2" i="23"/>
  <c r="I2" i="23"/>
  <c r="J2" i="23"/>
  <c r="K2" i="23"/>
  <c r="L2" i="23"/>
  <c r="M2" i="23"/>
  <c r="C3" i="23"/>
  <c r="D3" i="23"/>
  <c r="E3" i="23"/>
  <c r="F3" i="23"/>
  <c r="G3" i="23"/>
  <c r="H3" i="23"/>
  <c r="I3" i="23"/>
  <c r="J3" i="23"/>
  <c r="K3" i="23"/>
  <c r="L3" i="23"/>
  <c r="M3" i="23"/>
  <c r="C4" i="23"/>
  <c r="D4" i="23"/>
  <c r="E4" i="23"/>
  <c r="F4" i="23"/>
  <c r="G4" i="23"/>
  <c r="H4" i="23"/>
  <c r="I4" i="23"/>
  <c r="J4" i="23"/>
  <c r="K4" i="23"/>
  <c r="L4" i="23"/>
  <c r="M4" i="23"/>
  <c r="C5" i="23"/>
  <c r="D5" i="23"/>
  <c r="E5" i="23"/>
  <c r="F5" i="23"/>
  <c r="G5" i="23"/>
  <c r="H5" i="23"/>
  <c r="I5" i="23"/>
  <c r="J5" i="23"/>
  <c r="K5" i="23"/>
  <c r="L5" i="23"/>
  <c r="M5" i="23"/>
  <c r="C6" i="23"/>
  <c r="D6" i="23"/>
  <c r="E6" i="23"/>
  <c r="F6" i="23"/>
  <c r="G6" i="23"/>
  <c r="H6" i="23"/>
  <c r="I6" i="23"/>
  <c r="J6" i="23"/>
  <c r="K6" i="23"/>
  <c r="L6" i="23"/>
  <c r="M6" i="23"/>
  <c r="C7" i="23"/>
  <c r="D7" i="23"/>
  <c r="E7" i="23"/>
  <c r="F7" i="23"/>
  <c r="G7" i="23"/>
  <c r="H7" i="23"/>
  <c r="I7" i="23"/>
  <c r="J7" i="23"/>
  <c r="K7" i="23"/>
  <c r="L7" i="23"/>
  <c r="M7" i="23"/>
  <c r="B7" i="23"/>
  <c r="B6" i="23"/>
  <c r="B5" i="23"/>
  <c r="B4" i="23"/>
  <c r="B3" i="23"/>
  <c r="B2" i="23"/>
  <c r="I8" i="23" l="1"/>
  <c r="I10" i="23" s="1"/>
  <c r="M8" i="23"/>
  <c r="M10" i="23" s="1"/>
  <c r="H8" i="23"/>
  <c r="H10" i="23" s="1"/>
  <c r="E8" i="23"/>
  <c r="E10" i="23" s="1"/>
  <c r="K8" i="23"/>
  <c r="K10" i="23" s="1"/>
  <c r="G8" i="23"/>
  <c r="G10" i="23" s="1"/>
  <c r="D8" i="23"/>
  <c r="D10" i="23" s="1"/>
  <c r="B8" i="23"/>
  <c r="B10" i="23" s="1"/>
  <c r="J8" i="23"/>
  <c r="J10" i="23" s="1"/>
  <c r="F8" i="23"/>
  <c r="F10" i="23" s="1"/>
  <c r="C8" i="23"/>
  <c r="C10" i="23" s="1"/>
  <c r="L8" i="23"/>
  <c r="L10" i="23" s="1"/>
  <c r="N7" i="23"/>
  <c r="N6" i="23"/>
  <c r="N5" i="23"/>
  <c r="N4" i="23"/>
  <c r="N2" i="23"/>
  <c r="N3" i="23"/>
  <c r="N8" i="23" l="1"/>
  <c r="N10" i="23" s="1"/>
  <c r="B9" i="23"/>
</calcChain>
</file>

<file path=xl/sharedStrings.xml><?xml version="1.0" encoding="utf-8"?>
<sst xmlns="http://schemas.openxmlformats.org/spreadsheetml/2006/main" count="24" uniqueCount="24">
  <si>
    <t>TOTAL</t>
  </si>
  <si>
    <t>Procedimento</t>
  </si>
  <si>
    <t>JAP</t>
  </si>
  <si>
    <t>Total</t>
  </si>
  <si>
    <t>NÃO ATUALIZAR AUTOMATICAMENTE</t>
  </si>
  <si>
    <t>LINHAS</t>
  </si>
  <si>
    <t>Preencher uma coluna e Arrastar as células</t>
  </si>
  <si>
    <t>BEL</t>
  </si>
  <si>
    <t>PACOTE PRÉ-OPERATÓRIO PEDIÁTRICO OTORRINO</t>
  </si>
  <si>
    <t>PACOTE PRÉ-OPERATÓRIO PEDIÁTRICO CIRURGIA GERAL</t>
  </si>
  <si>
    <t>PACOTE PRÉ-OPERATÓRIO PEDIÁTRICO OFTALMOLOGISTA</t>
  </si>
  <si>
    <t>DUQ</t>
  </si>
  <si>
    <t>IT</t>
  </si>
  <si>
    <t>MAG</t>
  </si>
  <si>
    <t>MESQ</t>
  </si>
  <si>
    <t>NIL</t>
  </si>
  <si>
    <t>NIG</t>
  </si>
  <si>
    <t>PARA</t>
  </si>
  <si>
    <t>QUEI</t>
  </si>
  <si>
    <t>SJM</t>
  </si>
  <si>
    <t>SERO</t>
  </si>
  <si>
    <t>GRUPO CIRURGIA OTORRINO</t>
  </si>
  <si>
    <t>GRUPO CIRURGIA GERAL</t>
  </si>
  <si>
    <t>GRUPO CIRURGIA OFTALMO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</si>
</sst>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2" xfId="0" applyFont="1" applyBorder="1"/>
    <xf numFmtId="0" fontId="0" fillId="4" borderId="0" xfId="0" applyFill="1"/>
    <xf numFmtId="0" fontId="0" fillId="0" borderId="0" xfId="0" quotePrefix="1"/>
    <xf numFmtId="0" fontId="0" fillId="0" borderId="2" xfId="0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2" xfId="0" applyBorder="1"/>
    <xf numFmtId="0" fontId="3" fillId="5" borderId="2" xfId="0" applyFont="1" applyFill="1" applyBorder="1" applyAlignment="1">
      <alignment horizontal="center"/>
    </xf>
    <xf numFmtId="0" fontId="0" fillId="6" borderId="0" xfId="0" quotePrefix="1" applyFill="1" applyAlignment="1">
      <alignment horizontal="left" indent="1"/>
    </xf>
    <xf numFmtId="0" fontId="0" fillId="6" borderId="0" xfId="0" applyFill="1" applyAlignment="1">
      <alignment horizontal="left" indent="1"/>
    </xf>
    <xf numFmtId="0" fontId="2" fillId="6" borderId="0" xfId="0" applyFont="1" applyFill="1" applyAlignment="1">
      <alignment horizontal="left" vertical="center" indent="1"/>
    </xf>
    <xf numFmtId="20" fontId="2" fillId="6" borderId="0" xfId="0" applyNumberFormat="1" applyFont="1" applyFill="1" applyAlignment="1">
      <alignment horizontal="left" vertical="center" indent="1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BSERVATORIO\PROJETOS\BI%20e%20Afins\Opera%20facil\Atualizar%20-%20OPERA%20FACIL.xlsx" TargetMode="External"/><Relationship Id="rId1" Type="http://schemas.openxmlformats.org/officeDocument/2006/relationships/externalLinkPath" Target="Atualizar%20-%20OPERA%20FAC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ltas"/>
      <sheetName val="Competencia"/>
      <sheetName val="2025"/>
      <sheetName val="2024"/>
      <sheetName val="Neomater"/>
      <sheetName val="Neotin"/>
      <sheetName val="ProntoBaby"/>
      <sheetName val="Seg vision"/>
    </sheetNames>
    <sheetDataSet>
      <sheetData sheetId="0"/>
      <sheetData sheetId="1"/>
      <sheetData sheetId="2">
        <row r="3">
          <cell r="AX3">
            <v>41</v>
          </cell>
          <cell r="AY3">
            <v>32</v>
          </cell>
          <cell r="AZ3">
            <v>14</v>
          </cell>
          <cell r="BA3">
            <v>26</v>
          </cell>
          <cell r="BB3">
            <v>39</v>
          </cell>
          <cell r="BC3">
            <v>59</v>
          </cell>
          <cell r="BD3">
            <v>6</v>
          </cell>
          <cell r="BE3">
            <v>65</v>
          </cell>
          <cell r="BF3">
            <v>18</v>
          </cell>
          <cell r="BG3">
            <v>42</v>
          </cell>
          <cell r="BH3">
            <v>41</v>
          </cell>
          <cell r="BI3">
            <v>34</v>
          </cell>
          <cell r="BJ3">
            <v>417</v>
          </cell>
        </row>
        <row r="4">
          <cell r="AX4">
            <v>3</v>
          </cell>
          <cell r="AY4">
            <v>16</v>
          </cell>
          <cell r="AZ4">
            <v>6</v>
          </cell>
          <cell r="BA4">
            <v>7</v>
          </cell>
          <cell r="BB4">
            <v>7</v>
          </cell>
          <cell r="BC4">
            <v>7</v>
          </cell>
          <cell r="BD4">
            <v>0</v>
          </cell>
          <cell r="BE4">
            <v>5</v>
          </cell>
          <cell r="BF4">
            <v>10</v>
          </cell>
          <cell r="BG4">
            <v>3</v>
          </cell>
          <cell r="BH4">
            <v>1</v>
          </cell>
          <cell r="BI4">
            <v>8</v>
          </cell>
        </row>
        <row r="5">
          <cell r="AX5">
            <v>13</v>
          </cell>
          <cell r="AY5">
            <v>0</v>
          </cell>
          <cell r="AZ5">
            <v>1</v>
          </cell>
          <cell r="BA5">
            <v>4</v>
          </cell>
          <cell r="BB5">
            <v>12</v>
          </cell>
          <cell r="BC5">
            <v>19</v>
          </cell>
          <cell r="BD5">
            <v>4</v>
          </cell>
          <cell r="BE5">
            <v>25</v>
          </cell>
          <cell r="BF5">
            <v>0</v>
          </cell>
          <cell r="BG5">
            <v>21</v>
          </cell>
          <cell r="BH5">
            <v>18</v>
          </cell>
          <cell r="BI5">
            <v>8</v>
          </cell>
        </row>
        <row r="6"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</row>
        <row r="7">
          <cell r="AX7">
            <v>0</v>
          </cell>
          <cell r="AY7">
            <v>2</v>
          </cell>
          <cell r="AZ7">
            <v>1</v>
          </cell>
          <cell r="BA7">
            <v>2</v>
          </cell>
          <cell r="BB7">
            <v>1</v>
          </cell>
          <cell r="BC7">
            <v>2</v>
          </cell>
          <cell r="BD7">
            <v>0</v>
          </cell>
          <cell r="BE7">
            <v>1</v>
          </cell>
          <cell r="BF7">
            <v>1</v>
          </cell>
          <cell r="BG7">
            <v>1</v>
          </cell>
          <cell r="BH7">
            <v>0</v>
          </cell>
          <cell r="BI7">
            <v>1</v>
          </cell>
        </row>
        <row r="8">
          <cell r="AX8">
            <v>0</v>
          </cell>
          <cell r="AY8">
            <v>4</v>
          </cell>
          <cell r="AZ8">
            <v>1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1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</row>
        <row r="9">
          <cell r="AX9">
            <v>1</v>
          </cell>
          <cell r="AY9">
            <v>10</v>
          </cell>
          <cell r="AZ9">
            <v>3</v>
          </cell>
          <cell r="BA9">
            <v>5</v>
          </cell>
          <cell r="BB9">
            <v>6</v>
          </cell>
          <cell r="BC9">
            <v>4</v>
          </cell>
          <cell r="BD9">
            <v>0</v>
          </cell>
          <cell r="BE9">
            <v>3</v>
          </cell>
          <cell r="BF9">
            <v>7</v>
          </cell>
          <cell r="BG9">
            <v>2</v>
          </cell>
          <cell r="BH9">
            <v>1</v>
          </cell>
          <cell r="BI9">
            <v>7</v>
          </cell>
        </row>
        <row r="10"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</row>
        <row r="11"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</row>
        <row r="12">
          <cell r="AX12">
            <v>4</v>
          </cell>
          <cell r="AY12">
            <v>0</v>
          </cell>
          <cell r="AZ12">
            <v>1</v>
          </cell>
          <cell r="BA12">
            <v>1</v>
          </cell>
          <cell r="BB12">
            <v>1</v>
          </cell>
          <cell r="BC12">
            <v>6</v>
          </cell>
          <cell r="BD12">
            <v>0</v>
          </cell>
          <cell r="BE12">
            <v>10</v>
          </cell>
          <cell r="BF12">
            <v>0</v>
          </cell>
          <cell r="BG12">
            <v>2</v>
          </cell>
          <cell r="BH12">
            <v>0</v>
          </cell>
          <cell r="BI12">
            <v>4</v>
          </cell>
        </row>
        <row r="13">
          <cell r="AX13">
            <v>11</v>
          </cell>
          <cell r="AY13">
            <v>0</v>
          </cell>
          <cell r="AZ13">
            <v>0</v>
          </cell>
          <cell r="BA13">
            <v>4</v>
          </cell>
          <cell r="BB13">
            <v>4</v>
          </cell>
          <cell r="BC13">
            <v>2</v>
          </cell>
          <cell r="BD13">
            <v>0</v>
          </cell>
          <cell r="BE13">
            <v>11</v>
          </cell>
          <cell r="BF13">
            <v>0</v>
          </cell>
          <cell r="BG13">
            <v>3</v>
          </cell>
          <cell r="BH13">
            <v>2</v>
          </cell>
          <cell r="BI13">
            <v>5</v>
          </cell>
        </row>
        <row r="14">
          <cell r="AX14">
            <v>1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5</v>
          </cell>
          <cell r="BD14">
            <v>0</v>
          </cell>
          <cell r="BE14">
            <v>1</v>
          </cell>
          <cell r="BF14">
            <v>0</v>
          </cell>
          <cell r="BG14">
            <v>0</v>
          </cell>
          <cell r="BH14">
            <v>2</v>
          </cell>
          <cell r="BI14">
            <v>0</v>
          </cell>
        </row>
        <row r="15"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</row>
        <row r="16">
          <cell r="AX16">
            <v>1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1</v>
          </cell>
          <cell r="BI16">
            <v>0</v>
          </cell>
        </row>
        <row r="17"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</row>
        <row r="18">
          <cell r="AX18">
            <v>7</v>
          </cell>
          <cell r="AY18">
            <v>0</v>
          </cell>
          <cell r="AZ18">
            <v>1</v>
          </cell>
          <cell r="BA18">
            <v>2</v>
          </cell>
          <cell r="BB18">
            <v>7</v>
          </cell>
          <cell r="BC18">
            <v>13</v>
          </cell>
          <cell r="BD18">
            <v>2</v>
          </cell>
          <cell r="BE18">
            <v>8</v>
          </cell>
          <cell r="BF18">
            <v>0</v>
          </cell>
          <cell r="BG18">
            <v>10</v>
          </cell>
          <cell r="BH18">
            <v>16</v>
          </cell>
          <cell r="BI18">
            <v>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CC32-A80D-426D-AF4B-8962605CF03C}">
  <dimension ref="A1:R10"/>
  <sheetViews>
    <sheetView tabSelected="1" topLeftCell="B1" workbookViewId="0">
      <selection activeCell="N2" sqref="N2:N4"/>
    </sheetView>
  </sheetViews>
  <sheetFormatPr defaultRowHeight="15" x14ac:dyDescent="0.25"/>
  <cols>
    <col min="1" max="1" width="66.140625" bestFit="1" customWidth="1"/>
    <col min="2" max="10" width="12.42578125" bestFit="1" customWidth="1"/>
    <col min="11" max="12" width="12.42578125" customWidth="1"/>
    <col min="13" max="13" width="12.42578125" bestFit="1" customWidth="1"/>
    <col min="14" max="14" width="12.42578125" customWidth="1"/>
  </cols>
  <sheetData>
    <row r="1" spans="1:18" x14ac:dyDescent="0.25">
      <c r="A1" s="1" t="s">
        <v>1</v>
      </c>
      <c r="B1" s="1" t="s">
        <v>7</v>
      </c>
      <c r="C1" s="1" t="s">
        <v>11</v>
      </c>
      <c r="D1" s="1" t="s">
        <v>12</v>
      </c>
      <c r="E1" s="1" t="s">
        <v>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8" t="s">
        <v>3</v>
      </c>
      <c r="O1" s="9" t="s">
        <v>5</v>
      </c>
      <c r="P1" s="6"/>
      <c r="Q1" t="s">
        <v>4</v>
      </c>
      <c r="R1" s="5"/>
    </row>
    <row r="2" spans="1:18" x14ac:dyDescent="0.25">
      <c r="A2" s="2" t="s">
        <v>8</v>
      </c>
      <c r="B2" s="1">
        <f>'[1]2025'!AX$4</f>
        <v>3</v>
      </c>
      <c r="C2" s="1">
        <f>'[1]2025'!AY$4</f>
        <v>16</v>
      </c>
      <c r="D2" s="1">
        <f>'[1]2025'!AZ$4</f>
        <v>6</v>
      </c>
      <c r="E2" s="1">
        <f>'[1]2025'!BA$4</f>
        <v>7</v>
      </c>
      <c r="F2" s="1">
        <f>'[1]2025'!BB$4</f>
        <v>7</v>
      </c>
      <c r="G2" s="1">
        <f>'[1]2025'!BC$4</f>
        <v>7</v>
      </c>
      <c r="H2" s="1">
        <f>'[1]2025'!BD$4</f>
        <v>0</v>
      </c>
      <c r="I2" s="1">
        <f>'[1]2025'!BE$4</f>
        <v>5</v>
      </c>
      <c r="J2" s="1">
        <f>'[1]2025'!BF$4</f>
        <v>10</v>
      </c>
      <c r="K2" s="1">
        <f>'[1]2025'!BG$4</f>
        <v>3</v>
      </c>
      <c r="L2" s="1">
        <f>'[1]2025'!BH$4</f>
        <v>1</v>
      </c>
      <c r="M2" s="1">
        <f>'[1]2025'!BI$4</f>
        <v>8</v>
      </c>
      <c r="N2">
        <f>SUM(B2:M2)</f>
        <v>73</v>
      </c>
      <c r="O2" s="10">
        <v>4</v>
      </c>
      <c r="Q2" t="s">
        <v>6</v>
      </c>
    </row>
    <row r="3" spans="1:18" x14ac:dyDescent="0.25">
      <c r="A3" s="2" t="s">
        <v>9</v>
      </c>
      <c r="B3" s="1">
        <f>'[1]2025'!AX$5</f>
        <v>13</v>
      </c>
      <c r="C3" s="1">
        <f>'[1]2025'!AY$5</f>
        <v>0</v>
      </c>
      <c r="D3" s="1">
        <f>'[1]2025'!AZ$5</f>
        <v>1</v>
      </c>
      <c r="E3" s="1">
        <f>'[1]2025'!BA$5</f>
        <v>4</v>
      </c>
      <c r="F3" s="1">
        <f>'[1]2025'!BB$5</f>
        <v>12</v>
      </c>
      <c r="G3" s="1">
        <f>'[1]2025'!BC$5</f>
        <v>19</v>
      </c>
      <c r="H3" s="1">
        <f>'[1]2025'!BD$5</f>
        <v>4</v>
      </c>
      <c r="I3" s="1">
        <f>'[1]2025'!BE$5</f>
        <v>25</v>
      </c>
      <c r="J3" s="1">
        <f>'[1]2025'!BF$5</f>
        <v>0</v>
      </c>
      <c r="K3" s="1">
        <f>'[1]2025'!BG$5</f>
        <v>21</v>
      </c>
      <c r="L3" s="1">
        <f>'[1]2025'!BH$5</f>
        <v>18</v>
      </c>
      <c r="M3" s="1">
        <f>'[1]2025'!BI$5</f>
        <v>8</v>
      </c>
      <c r="N3">
        <f t="shared" ref="N3:N8" si="0">SUM(B3:M3)</f>
        <v>125</v>
      </c>
      <c r="O3" s="10">
        <v>5</v>
      </c>
    </row>
    <row r="4" spans="1:18" x14ac:dyDescent="0.25">
      <c r="A4" s="2" t="s">
        <v>10</v>
      </c>
      <c r="B4" s="1">
        <f>'[1]2025'!AX$6</f>
        <v>0</v>
      </c>
      <c r="C4" s="1">
        <f>'[1]2025'!AY$6</f>
        <v>0</v>
      </c>
      <c r="D4" s="1">
        <f>'[1]2025'!AZ$6</f>
        <v>0</v>
      </c>
      <c r="E4" s="1">
        <f>'[1]2025'!BA$6</f>
        <v>0</v>
      </c>
      <c r="F4" s="1">
        <f>'[1]2025'!BB$6</f>
        <v>0</v>
      </c>
      <c r="G4" s="1">
        <f>'[1]2025'!BC$6</f>
        <v>0</v>
      </c>
      <c r="H4" s="1">
        <f>'[1]2025'!BD$6</f>
        <v>0</v>
      </c>
      <c r="I4" s="1">
        <f>'[1]2025'!BE$6</f>
        <v>0</v>
      </c>
      <c r="J4" s="1">
        <f>'[1]2025'!BF$6</f>
        <v>0</v>
      </c>
      <c r="K4" s="1">
        <f>'[1]2025'!BG$6</f>
        <v>0</v>
      </c>
      <c r="L4" s="1">
        <f>'[1]2025'!BH$6</f>
        <v>0</v>
      </c>
      <c r="M4" s="1">
        <f>'[1]2025'!BI$6</f>
        <v>0</v>
      </c>
      <c r="N4">
        <f t="shared" si="0"/>
        <v>0</v>
      </c>
      <c r="O4" s="11">
        <v>6</v>
      </c>
    </row>
    <row r="5" spans="1:18" ht="15.75" x14ac:dyDescent="0.25">
      <c r="A5" s="2" t="s">
        <v>21</v>
      </c>
      <c r="B5" s="1">
        <f>SUM('[1]2025'!AX$7:AX$10)</f>
        <v>1</v>
      </c>
      <c r="C5" s="1">
        <f>SUM('[1]2025'!AY$7:AY$10)</f>
        <v>16</v>
      </c>
      <c r="D5" s="1">
        <f>SUM('[1]2025'!AZ$7:AZ$10)</f>
        <v>5</v>
      </c>
      <c r="E5" s="1">
        <f>SUM('[1]2025'!BA$7:BA$10)</f>
        <v>7</v>
      </c>
      <c r="F5" s="1">
        <f>SUM('[1]2025'!BB$7:BB$10)</f>
        <v>7</v>
      </c>
      <c r="G5" s="1">
        <f>SUM('[1]2025'!BC$7:BC$10)</f>
        <v>6</v>
      </c>
      <c r="H5" s="1">
        <f>SUM('[1]2025'!BD$7:BD$10)</f>
        <v>0</v>
      </c>
      <c r="I5" s="1">
        <f>SUM('[1]2025'!BE$7:BE$10)</f>
        <v>5</v>
      </c>
      <c r="J5" s="1">
        <f>SUM('[1]2025'!BF$7:BF$10)</f>
        <v>8</v>
      </c>
      <c r="K5" s="1">
        <f>SUM('[1]2025'!BG$7:BG$10)</f>
        <v>3</v>
      </c>
      <c r="L5" s="1">
        <f>SUM('[1]2025'!BH$7:BH$10)</f>
        <v>1</v>
      </c>
      <c r="M5" s="1">
        <f>SUM('[1]2025'!BI$7:BI$10)</f>
        <v>8</v>
      </c>
      <c r="N5">
        <f t="shared" si="0"/>
        <v>67</v>
      </c>
      <c r="O5" s="13">
        <v>0.2986111111111111</v>
      </c>
    </row>
    <row r="6" spans="1:18" ht="15.75" x14ac:dyDescent="0.25">
      <c r="A6" s="2" t="s">
        <v>23</v>
      </c>
      <c r="B6" s="1">
        <f>SUM('[1]2025'!AX$11)</f>
        <v>0</v>
      </c>
      <c r="C6" s="1">
        <f>SUM('[1]2025'!AY$11)</f>
        <v>0</v>
      </c>
      <c r="D6" s="1">
        <f>SUM('[1]2025'!AZ$11)</f>
        <v>0</v>
      </c>
      <c r="E6" s="1">
        <f>SUM('[1]2025'!BA$11)</f>
        <v>0</v>
      </c>
      <c r="F6" s="1">
        <f>SUM('[1]2025'!BB$11)</f>
        <v>0</v>
      </c>
      <c r="G6" s="1">
        <f>SUM('[1]2025'!BC$11)</f>
        <v>0</v>
      </c>
      <c r="H6" s="1">
        <f>SUM('[1]2025'!BD$11)</f>
        <v>0</v>
      </c>
      <c r="I6" s="1">
        <f>SUM('[1]2025'!BE$11)</f>
        <v>0</v>
      </c>
      <c r="J6" s="1">
        <f>SUM('[1]2025'!BF$11)</f>
        <v>0</v>
      </c>
      <c r="K6" s="1">
        <f>SUM('[1]2025'!BG$11)</f>
        <v>0</v>
      </c>
      <c r="L6" s="1">
        <f>SUM('[1]2025'!BH$11)</f>
        <v>0</v>
      </c>
      <c r="M6" s="1">
        <f>SUM('[1]2025'!BI$11)</f>
        <v>0</v>
      </c>
      <c r="N6">
        <f>SUM(B6:M6)</f>
        <v>0</v>
      </c>
      <c r="O6" s="12">
        <v>11</v>
      </c>
    </row>
    <row r="7" spans="1:18" ht="15.75" x14ac:dyDescent="0.25">
      <c r="A7" s="2" t="s">
        <v>22</v>
      </c>
      <c r="B7" s="1">
        <f>SUM('[1]2025'!AX$12:AX$18)</f>
        <v>24</v>
      </c>
      <c r="C7" s="1">
        <f>SUM('[1]2025'!AY$12:AY$18)</f>
        <v>0</v>
      </c>
      <c r="D7" s="1">
        <f>SUM('[1]2025'!AZ$12:AZ$18)</f>
        <v>2</v>
      </c>
      <c r="E7" s="1">
        <f>SUM('[1]2025'!BA$12:BA$18)</f>
        <v>8</v>
      </c>
      <c r="F7" s="1">
        <f>SUM('[1]2025'!BB$12:BB$18)</f>
        <v>13</v>
      </c>
      <c r="G7" s="1">
        <f>SUM('[1]2025'!BC$12:BC$18)</f>
        <v>27</v>
      </c>
      <c r="H7" s="1">
        <f>SUM('[1]2025'!BD$12:BD$18)</f>
        <v>2</v>
      </c>
      <c r="I7" s="1">
        <f>SUM('[1]2025'!BE$12:BE$18)</f>
        <v>30</v>
      </c>
      <c r="J7" s="1">
        <f>SUM('[1]2025'!BF$12:BF$18)</f>
        <v>0</v>
      </c>
      <c r="K7" s="1">
        <f>SUM('[1]2025'!BG$12:BG$18)</f>
        <v>15</v>
      </c>
      <c r="L7" s="1">
        <f>SUM('[1]2025'!BH$12:BH$18)</f>
        <v>21</v>
      </c>
      <c r="M7" s="1">
        <f>SUM('[1]2025'!BI$12:BI$18)</f>
        <v>10</v>
      </c>
      <c r="N7">
        <f>SUM(B7:M7)</f>
        <v>152</v>
      </c>
      <c r="O7" s="13">
        <v>0.51249999999999996</v>
      </c>
    </row>
    <row r="8" spans="1:18" x14ac:dyDescent="0.25">
      <c r="B8">
        <f>SUM(B2:B7)</f>
        <v>41</v>
      </c>
      <c r="C8">
        <f t="shared" ref="C8:M8" si="1">SUM(C2:C7)</f>
        <v>32</v>
      </c>
      <c r="D8">
        <f t="shared" si="1"/>
        <v>14</v>
      </c>
      <c r="E8">
        <f t="shared" si="1"/>
        <v>26</v>
      </c>
      <c r="F8">
        <f t="shared" si="1"/>
        <v>39</v>
      </c>
      <c r="G8">
        <f t="shared" si="1"/>
        <v>59</v>
      </c>
      <c r="H8">
        <f t="shared" si="1"/>
        <v>6</v>
      </c>
      <c r="I8">
        <f t="shared" si="1"/>
        <v>65</v>
      </c>
      <c r="J8">
        <f t="shared" si="1"/>
        <v>18</v>
      </c>
      <c r="K8">
        <f t="shared" si="1"/>
        <v>42</v>
      </c>
      <c r="L8">
        <f t="shared" si="1"/>
        <v>41</v>
      </c>
      <c r="M8">
        <f t="shared" si="1"/>
        <v>34</v>
      </c>
      <c r="N8">
        <f t="shared" si="0"/>
        <v>417</v>
      </c>
    </row>
    <row r="9" spans="1:18" x14ac:dyDescent="0.25">
      <c r="A9" s="3" t="s">
        <v>0</v>
      </c>
      <c r="B9" s="14">
        <f>SUM(B8:M8)</f>
        <v>417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7"/>
    </row>
    <row r="10" spans="1:18" x14ac:dyDescent="0.25">
      <c r="B10" s="4" t="b">
        <f>(B8='[1]2025'!AX3)</f>
        <v>1</v>
      </c>
      <c r="C10" s="4" t="b">
        <f>(C8='[1]2025'!AY3)</f>
        <v>1</v>
      </c>
      <c r="D10" s="4" t="b">
        <f>(D8='[1]2025'!AZ3)</f>
        <v>1</v>
      </c>
      <c r="E10" s="4" t="b">
        <f>(E8='[1]2025'!BA3)</f>
        <v>1</v>
      </c>
      <c r="F10" s="4" t="b">
        <f>(F8='[1]2025'!BB3)</f>
        <v>1</v>
      </c>
      <c r="G10" s="4" t="b">
        <f>(G8='[1]2025'!BC3)</f>
        <v>1</v>
      </c>
      <c r="H10" s="4" t="b">
        <f>(H8='[1]2025'!BD3)</f>
        <v>1</v>
      </c>
      <c r="I10" s="4" t="b">
        <f>(I8='[1]2025'!BE3)</f>
        <v>1</v>
      </c>
      <c r="J10" s="4" t="b">
        <f>(J8='[1]2025'!BF3)</f>
        <v>1</v>
      </c>
      <c r="K10" s="4" t="b">
        <f>(K8='[1]2025'!BG3)</f>
        <v>1</v>
      </c>
      <c r="L10" s="4" t="b">
        <f>(L8='[1]2025'!BH3)</f>
        <v>1</v>
      </c>
      <c r="M10" s="4" t="b">
        <f>(M8='[1]2025'!BI3)</f>
        <v>1</v>
      </c>
      <c r="N10" s="4" t="b">
        <f>(N8='[1]2025'!BJ3)</f>
        <v>1</v>
      </c>
    </row>
  </sheetData>
  <mergeCells count="1">
    <mergeCell ref="B9:M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Samyr Oliveira</dc:creator>
  <cp:lastModifiedBy>Davi Alves</cp:lastModifiedBy>
  <dcterms:created xsi:type="dcterms:W3CDTF">2023-03-22T19:15:51Z</dcterms:created>
  <dcterms:modified xsi:type="dcterms:W3CDTF">2025-12-19T18:51:38Z</dcterms:modified>
</cp:coreProperties>
</file>