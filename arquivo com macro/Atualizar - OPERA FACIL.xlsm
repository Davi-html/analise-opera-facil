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alves\Downloads\"/>
    </mc:Choice>
  </mc:AlternateContent>
  <xr:revisionPtr revIDLastSave="0" documentId="13_ncr:1_{23385EEF-1FFF-4B5A-827D-736CE0D033D4}" xr6:coauthVersionLast="47" xr6:coauthVersionMax="47" xr10:uidLastSave="{00000000-0000-0000-0000-000000000000}"/>
  <bookViews>
    <workbookView xWindow="20370" yWindow="-120" windowWidth="20730" windowHeight="11040" firstSheet="2" activeTab="6" xr2:uid="{00000000-000D-0000-FFFF-FFFF00000000}"/>
  </bookViews>
  <sheets>
    <sheet name="Faltas" sheetId="1" state="hidden" r:id="rId1"/>
    <sheet name="Competencia" sheetId="2" state="hidden" r:id="rId2"/>
    <sheet name="2025" sheetId="3" r:id="rId3"/>
    <sheet name="2024" sheetId="9" r:id="rId4"/>
    <sheet name="Neomater" sheetId="6" r:id="rId5"/>
    <sheet name="Neotin" sheetId="5" r:id="rId6"/>
    <sheet name="ProntoBaby" sheetId="7" r:id="rId7"/>
    <sheet name="Seg vision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5" l="1"/>
  <c r="AB3" i="5"/>
  <c r="AC3" i="5"/>
  <c r="AD3" i="5"/>
  <c r="AE3" i="5"/>
  <c r="AF3" i="5"/>
  <c r="AG3" i="5"/>
  <c r="AH3" i="5"/>
  <c r="AI3" i="5"/>
  <c r="AJ3" i="5"/>
  <c r="AK3" i="5"/>
  <c r="AA4" i="5"/>
  <c r="AB4" i="5"/>
  <c r="AC4" i="5"/>
  <c r="AD4" i="5"/>
  <c r="AE4" i="5"/>
  <c r="AF4" i="5"/>
  <c r="AG4" i="5"/>
  <c r="AH4" i="5"/>
  <c r="AI4" i="5"/>
  <c r="AJ4" i="5"/>
  <c r="AK4" i="5"/>
  <c r="AA5" i="5"/>
  <c r="AB5" i="5"/>
  <c r="AC5" i="5"/>
  <c r="AD5" i="5"/>
  <c r="AE5" i="5"/>
  <c r="AF5" i="5"/>
  <c r="AG5" i="5"/>
  <c r="AH5" i="5"/>
  <c r="AI5" i="5"/>
  <c r="AJ5" i="5"/>
  <c r="AK5" i="5"/>
  <c r="AA6" i="5"/>
  <c r="AB6" i="5"/>
  <c r="AC6" i="5"/>
  <c r="AD6" i="5"/>
  <c r="AE6" i="5"/>
  <c r="AF6" i="5"/>
  <c r="AG6" i="5"/>
  <c r="AH6" i="5"/>
  <c r="AI6" i="5"/>
  <c r="AJ6" i="5"/>
  <c r="AK6" i="5"/>
  <c r="AA7" i="5"/>
  <c r="AB7" i="5"/>
  <c r="AC7" i="5"/>
  <c r="AD7" i="5"/>
  <c r="AE7" i="5"/>
  <c r="AF7" i="5"/>
  <c r="AG7" i="5"/>
  <c r="AH7" i="5"/>
  <c r="AI7" i="5"/>
  <c r="AJ7" i="5"/>
  <c r="AK7" i="5"/>
  <c r="AA8" i="5"/>
  <c r="AB8" i="5"/>
  <c r="AC8" i="5"/>
  <c r="AD8" i="5"/>
  <c r="AE8" i="5"/>
  <c r="AF8" i="5"/>
  <c r="AG8" i="5"/>
  <c r="AH8" i="5"/>
  <c r="AI8" i="5"/>
  <c r="AJ8" i="5"/>
  <c r="AK8" i="5"/>
  <c r="AA9" i="5"/>
  <c r="AB9" i="5"/>
  <c r="AC9" i="5"/>
  <c r="AD9" i="5"/>
  <c r="AE9" i="5"/>
  <c r="AF9" i="5"/>
  <c r="AG9" i="5"/>
  <c r="AH9" i="5"/>
  <c r="AI9" i="5"/>
  <c r="AJ9" i="5"/>
  <c r="AK9" i="5"/>
  <c r="AA10" i="5"/>
  <c r="AB10" i="5"/>
  <c r="AC10" i="5"/>
  <c r="AD10" i="5"/>
  <c r="AE10" i="5"/>
  <c r="AF10" i="5"/>
  <c r="AG10" i="5"/>
  <c r="AH10" i="5"/>
  <c r="AI10" i="5"/>
  <c r="AJ10" i="5"/>
  <c r="AK10" i="5"/>
  <c r="AA11" i="5"/>
  <c r="AB11" i="5"/>
  <c r="AC11" i="5"/>
  <c r="AD11" i="5"/>
  <c r="AE11" i="5"/>
  <c r="AF11" i="5"/>
  <c r="AG11" i="5"/>
  <c r="AH11" i="5"/>
  <c r="AI11" i="5"/>
  <c r="AJ11" i="5"/>
  <c r="AK11" i="5"/>
  <c r="AA12" i="5"/>
  <c r="AB12" i="5"/>
  <c r="AC12" i="5"/>
  <c r="AD12" i="5"/>
  <c r="AE12" i="5"/>
  <c r="AF12" i="5"/>
  <c r="AG12" i="5"/>
  <c r="AH12" i="5"/>
  <c r="AI12" i="5"/>
  <c r="AJ12" i="5"/>
  <c r="AK12" i="5"/>
  <c r="AA13" i="5"/>
  <c r="AB13" i="5"/>
  <c r="AC13" i="5"/>
  <c r="AD13" i="5"/>
  <c r="AE13" i="5"/>
  <c r="AF13" i="5"/>
  <c r="AG13" i="5"/>
  <c r="AH13" i="5"/>
  <c r="AI13" i="5"/>
  <c r="AJ13" i="5"/>
  <c r="AK13" i="5"/>
  <c r="AA14" i="5"/>
  <c r="AB14" i="5"/>
  <c r="AC14" i="5"/>
  <c r="AD14" i="5"/>
  <c r="AE14" i="5"/>
  <c r="AF14" i="5"/>
  <c r="AG14" i="5"/>
  <c r="AH14" i="5"/>
  <c r="AI14" i="5"/>
  <c r="AJ14" i="5"/>
  <c r="AK14" i="5"/>
  <c r="AA15" i="5"/>
  <c r="AB15" i="5"/>
  <c r="AC15" i="5"/>
  <c r="AD15" i="5"/>
  <c r="AE15" i="5"/>
  <c r="AF15" i="5"/>
  <c r="AG15" i="5"/>
  <c r="AH15" i="5"/>
  <c r="AI15" i="5"/>
  <c r="AJ15" i="5"/>
  <c r="AK15" i="5"/>
  <c r="AA16" i="5"/>
  <c r="AB16" i="5"/>
  <c r="AC16" i="5"/>
  <c r="AD16" i="5"/>
  <c r="AE16" i="5"/>
  <c r="AF16" i="5"/>
  <c r="AG16" i="5"/>
  <c r="AH16" i="5"/>
  <c r="AI16" i="5"/>
  <c r="AJ16" i="5"/>
  <c r="AK16" i="5"/>
  <c r="AA17" i="5"/>
  <c r="AB17" i="5"/>
  <c r="AC17" i="5"/>
  <c r="AD17" i="5"/>
  <c r="AE17" i="5"/>
  <c r="AF17" i="5"/>
  <c r="AG17" i="5"/>
  <c r="AH17" i="5"/>
  <c r="AI17" i="5"/>
  <c r="AJ17" i="5"/>
  <c r="AK17" i="5"/>
  <c r="AA18" i="5"/>
  <c r="AB18" i="5"/>
  <c r="AC18" i="5"/>
  <c r="AD18" i="5"/>
  <c r="AE18" i="5"/>
  <c r="AF18" i="5"/>
  <c r="AG18" i="5"/>
  <c r="AH18" i="5"/>
  <c r="AI18" i="5"/>
  <c r="AJ18" i="5"/>
  <c r="AK18" i="5"/>
  <c r="Z4" i="5"/>
  <c r="AL4" i="5" s="1"/>
  <c r="Z5" i="5"/>
  <c r="AL5" i="5" s="1"/>
  <c r="Z6" i="5"/>
  <c r="AL6" i="5" s="1"/>
  <c r="Z7" i="5"/>
  <c r="AL7" i="5" s="1"/>
  <c r="Z8" i="5"/>
  <c r="AL8" i="5" s="1"/>
  <c r="Z9" i="5"/>
  <c r="AL9" i="5" s="1"/>
  <c r="Z10" i="5"/>
  <c r="AL10" i="5" s="1"/>
  <c r="Z11" i="5"/>
  <c r="AL11" i="5" s="1"/>
  <c r="Z12" i="5"/>
  <c r="AL12" i="5" s="1"/>
  <c r="Z13" i="5"/>
  <c r="AL13" i="5" s="1"/>
  <c r="Z14" i="5"/>
  <c r="AL14" i="5" s="1"/>
  <c r="Z15" i="5"/>
  <c r="AL15" i="5" s="1"/>
  <c r="Z16" i="5"/>
  <c r="AL16" i="5" s="1"/>
  <c r="Z17" i="5"/>
  <c r="AL17" i="5" s="1"/>
  <c r="Z18" i="5"/>
  <c r="AL18" i="5" s="1"/>
  <c r="Z3" i="5"/>
  <c r="AL3" i="5" s="1"/>
  <c r="AA4" i="3"/>
  <c r="AB4" i="3"/>
  <c r="AC4" i="3"/>
  <c r="AD4" i="3"/>
  <c r="AE4" i="3"/>
  <c r="AF4" i="3"/>
  <c r="AG4" i="3"/>
  <c r="AH4" i="3"/>
  <c r="AI4" i="3"/>
  <c r="AJ4" i="3"/>
  <c r="AK4" i="3"/>
  <c r="AA5" i="3"/>
  <c r="AB5" i="3"/>
  <c r="AC5" i="3"/>
  <c r="AD5" i="3"/>
  <c r="AE5" i="3"/>
  <c r="AF5" i="3"/>
  <c r="AG5" i="3"/>
  <c r="AH5" i="3"/>
  <c r="AI5" i="3"/>
  <c r="AJ5" i="3"/>
  <c r="AK5" i="3"/>
  <c r="AA6" i="3"/>
  <c r="AB6" i="3"/>
  <c r="AC6" i="3"/>
  <c r="AD6" i="3"/>
  <c r="AE6" i="3"/>
  <c r="AF6" i="3"/>
  <c r="AG6" i="3"/>
  <c r="AH6" i="3"/>
  <c r="AI6" i="3"/>
  <c r="AJ6" i="3"/>
  <c r="AK6" i="3"/>
  <c r="AA7" i="3"/>
  <c r="AB7" i="3"/>
  <c r="AC7" i="3"/>
  <c r="AD7" i="3"/>
  <c r="AE7" i="3"/>
  <c r="AF7" i="3"/>
  <c r="AG7" i="3"/>
  <c r="AH7" i="3"/>
  <c r="AI7" i="3"/>
  <c r="AJ7" i="3"/>
  <c r="AK7" i="3"/>
  <c r="AA8" i="3"/>
  <c r="AB8" i="3"/>
  <c r="AC8" i="3"/>
  <c r="AD8" i="3"/>
  <c r="AE8" i="3"/>
  <c r="AF8" i="3"/>
  <c r="AG8" i="3"/>
  <c r="AH8" i="3"/>
  <c r="AI8" i="3"/>
  <c r="AJ8" i="3"/>
  <c r="AK8" i="3"/>
  <c r="AA9" i="3"/>
  <c r="AB9" i="3"/>
  <c r="AC9" i="3"/>
  <c r="AD9" i="3"/>
  <c r="AE9" i="3"/>
  <c r="AF9" i="3"/>
  <c r="AG9" i="3"/>
  <c r="AH9" i="3"/>
  <c r="AI9" i="3"/>
  <c r="AJ9" i="3"/>
  <c r="AK9" i="3"/>
  <c r="AA10" i="3"/>
  <c r="AB10" i="3"/>
  <c r="AC10" i="3"/>
  <c r="AD10" i="3"/>
  <c r="AE10" i="3"/>
  <c r="AF10" i="3"/>
  <c r="AG10" i="3"/>
  <c r="AH10" i="3"/>
  <c r="AI10" i="3"/>
  <c r="AJ10" i="3"/>
  <c r="AK10" i="3"/>
  <c r="AA11" i="3"/>
  <c r="AB11" i="3"/>
  <c r="AC11" i="3"/>
  <c r="AD11" i="3"/>
  <c r="AE11" i="3"/>
  <c r="AF11" i="3"/>
  <c r="AG11" i="3"/>
  <c r="AH11" i="3"/>
  <c r="AI11" i="3"/>
  <c r="AJ11" i="3"/>
  <c r="AK11" i="3"/>
  <c r="AA12" i="3"/>
  <c r="AB12" i="3"/>
  <c r="AC12" i="3"/>
  <c r="AD12" i="3"/>
  <c r="AE12" i="3"/>
  <c r="AF12" i="3"/>
  <c r="AG12" i="3"/>
  <c r="AH12" i="3"/>
  <c r="AI12" i="3"/>
  <c r="AJ12" i="3"/>
  <c r="AK12" i="3"/>
  <c r="AA13" i="3"/>
  <c r="AB13" i="3"/>
  <c r="AC13" i="3"/>
  <c r="AD13" i="3"/>
  <c r="AE13" i="3"/>
  <c r="AF13" i="3"/>
  <c r="AG13" i="3"/>
  <c r="AH13" i="3"/>
  <c r="AI13" i="3"/>
  <c r="AJ13" i="3"/>
  <c r="AK13" i="3"/>
  <c r="AA14" i="3"/>
  <c r="AB14" i="3"/>
  <c r="AC14" i="3"/>
  <c r="AD14" i="3"/>
  <c r="AE14" i="3"/>
  <c r="AF14" i="3"/>
  <c r="AG14" i="3"/>
  <c r="AH14" i="3"/>
  <c r="AI14" i="3"/>
  <c r="AJ14" i="3"/>
  <c r="AK14" i="3"/>
  <c r="AA15" i="3"/>
  <c r="AB15" i="3"/>
  <c r="AC15" i="3"/>
  <c r="AD15" i="3"/>
  <c r="AE15" i="3"/>
  <c r="AF15" i="3"/>
  <c r="AG15" i="3"/>
  <c r="AH15" i="3"/>
  <c r="AI15" i="3"/>
  <c r="AJ15" i="3"/>
  <c r="AK15" i="3"/>
  <c r="AA16" i="3"/>
  <c r="AB16" i="3"/>
  <c r="AC16" i="3"/>
  <c r="AD16" i="3"/>
  <c r="AE16" i="3"/>
  <c r="AF16" i="3"/>
  <c r="AG16" i="3"/>
  <c r="AH16" i="3"/>
  <c r="AI16" i="3"/>
  <c r="AJ16" i="3"/>
  <c r="AK16" i="3"/>
  <c r="AA17" i="3"/>
  <c r="AB17" i="3"/>
  <c r="AC17" i="3"/>
  <c r="AD17" i="3"/>
  <c r="AE17" i="3"/>
  <c r="AF17" i="3"/>
  <c r="AG17" i="3"/>
  <c r="AH17" i="3"/>
  <c r="AI17" i="3"/>
  <c r="AJ17" i="3"/>
  <c r="AK17" i="3"/>
  <c r="AA18" i="3"/>
  <c r="AB18" i="3"/>
  <c r="AC18" i="3"/>
  <c r="AD18" i="3"/>
  <c r="AE18" i="3"/>
  <c r="AF18" i="3"/>
  <c r="AG18" i="3"/>
  <c r="AH18" i="3"/>
  <c r="AI18" i="3"/>
  <c r="AJ18" i="3"/>
  <c r="AK18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4" i="3"/>
  <c r="Z3" i="3" s="1"/>
  <c r="O4" i="3"/>
  <c r="P4" i="3"/>
  <c r="Q4" i="3"/>
  <c r="R4" i="3"/>
  <c r="S4" i="3"/>
  <c r="T4" i="3"/>
  <c r="U4" i="3"/>
  <c r="V4" i="3"/>
  <c r="W4" i="3"/>
  <c r="X4" i="3"/>
  <c r="Y4" i="3"/>
  <c r="O5" i="3"/>
  <c r="P5" i="3"/>
  <c r="Q5" i="3"/>
  <c r="R5" i="3"/>
  <c r="S5" i="3"/>
  <c r="T5" i="3"/>
  <c r="U5" i="3"/>
  <c r="V5" i="3"/>
  <c r="W5" i="3"/>
  <c r="X5" i="3"/>
  <c r="Y5" i="3"/>
  <c r="O6" i="3"/>
  <c r="P6" i="3"/>
  <c r="Q6" i="3"/>
  <c r="R6" i="3"/>
  <c r="S6" i="3"/>
  <c r="T6" i="3"/>
  <c r="U6" i="3"/>
  <c r="V6" i="3"/>
  <c r="W6" i="3"/>
  <c r="X6" i="3"/>
  <c r="Y6" i="3"/>
  <c r="O7" i="3"/>
  <c r="P7" i="3"/>
  <c r="Q7" i="3"/>
  <c r="R7" i="3"/>
  <c r="S7" i="3"/>
  <c r="T7" i="3"/>
  <c r="U7" i="3"/>
  <c r="V7" i="3"/>
  <c r="W7" i="3"/>
  <c r="X7" i="3"/>
  <c r="Y7" i="3"/>
  <c r="O8" i="3"/>
  <c r="P8" i="3"/>
  <c r="Q8" i="3"/>
  <c r="R8" i="3"/>
  <c r="S8" i="3"/>
  <c r="T8" i="3"/>
  <c r="U8" i="3"/>
  <c r="V8" i="3"/>
  <c r="W8" i="3"/>
  <c r="X8" i="3"/>
  <c r="Y8" i="3"/>
  <c r="O9" i="3"/>
  <c r="P9" i="3"/>
  <c r="Q9" i="3"/>
  <c r="R9" i="3"/>
  <c r="S9" i="3"/>
  <c r="T9" i="3"/>
  <c r="U9" i="3"/>
  <c r="V9" i="3"/>
  <c r="W9" i="3"/>
  <c r="X9" i="3"/>
  <c r="Y9" i="3"/>
  <c r="O10" i="3"/>
  <c r="P10" i="3"/>
  <c r="Q10" i="3"/>
  <c r="R10" i="3"/>
  <c r="S10" i="3"/>
  <c r="T10" i="3"/>
  <c r="U10" i="3"/>
  <c r="V10" i="3"/>
  <c r="W10" i="3"/>
  <c r="X10" i="3"/>
  <c r="Y10" i="3"/>
  <c r="O11" i="3"/>
  <c r="P11" i="3"/>
  <c r="Q11" i="3"/>
  <c r="R11" i="3"/>
  <c r="S11" i="3"/>
  <c r="T11" i="3"/>
  <c r="U11" i="3"/>
  <c r="V11" i="3"/>
  <c r="W11" i="3"/>
  <c r="X11" i="3"/>
  <c r="Y11" i="3"/>
  <c r="O12" i="3"/>
  <c r="P12" i="3"/>
  <c r="Q12" i="3"/>
  <c r="R12" i="3"/>
  <c r="S12" i="3"/>
  <c r="T12" i="3"/>
  <c r="U12" i="3"/>
  <c r="V12" i="3"/>
  <c r="W12" i="3"/>
  <c r="X12" i="3"/>
  <c r="Y12" i="3"/>
  <c r="O13" i="3"/>
  <c r="P13" i="3"/>
  <c r="Q13" i="3"/>
  <c r="R13" i="3"/>
  <c r="S13" i="3"/>
  <c r="T13" i="3"/>
  <c r="U13" i="3"/>
  <c r="V13" i="3"/>
  <c r="W13" i="3"/>
  <c r="X13" i="3"/>
  <c r="Y13" i="3"/>
  <c r="O14" i="3"/>
  <c r="P14" i="3"/>
  <c r="Q14" i="3"/>
  <c r="R14" i="3"/>
  <c r="S14" i="3"/>
  <c r="T14" i="3"/>
  <c r="U14" i="3"/>
  <c r="V14" i="3"/>
  <c r="W14" i="3"/>
  <c r="X14" i="3"/>
  <c r="Y14" i="3"/>
  <c r="O15" i="3"/>
  <c r="P15" i="3"/>
  <c r="Q15" i="3"/>
  <c r="R15" i="3"/>
  <c r="S15" i="3"/>
  <c r="T15" i="3"/>
  <c r="U15" i="3"/>
  <c r="V15" i="3"/>
  <c r="W15" i="3"/>
  <c r="X15" i="3"/>
  <c r="Y15" i="3"/>
  <c r="O16" i="3"/>
  <c r="P16" i="3"/>
  <c r="Q16" i="3"/>
  <c r="R16" i="3"/>
  <c r="S16" i="3"/>
  <c r="T16" i="3"/>
  <c r="U16" i="3"/>
  <c r="V16" i="3"/>
  <c r="W16" i="3"/>
  <c r="X16" i="3"/>
  <c r="Y16" i="3"/>
  <c r="O17" i="3"/>
  <c r="P17" i="3"/>
  <c r="Q17" i="3"/>
  <c r="R17" i="3"/>
  <c r="S17" i="3"/>
  <c r="T17" i="3"/>
  <c r="U17" i="3"/>
  <c r="V17" i="3"/>
  <c r="W17" i="3"/>
  <c r="X17" i="3"/>
  <c r="Y17" i="3"/>
  <c r="O18" i="3"/>
  <c r="P18" i="3"/>
  <c r="Q18" i="3"/>
  <c r="R18" i="3"/>
  <c r="S18" i="3"/>
  <c r="T18" i="3"/>
  <c r="U18" i="3"/>
  <c r="V18" i="3"/>
  <c r="W18" i="3"/>
  <c r="X18" i="3"/>
  <c r="Y18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4" i="3"/>
  <c r="N3" i="3" s="1"/>
  <c r="AL3" i="3"/>
  <c r="AM3" i="3"/>
  <c r="AN3" i="3"/>
  <c r="AO3" i="3"/>
  <c r="AP3" i="3"/>
  <c r="AQ3" i="3"/>
  <c r="AR3" i="3"/>
  <c r="AS3" i="3"/>
  <c r="AT3" i="3"/>
  <c r="AU3" i="3"/>
  <c r="AV3" i="3"/>
  <c r="AW3" i="3"/>
  <c r="C4" i="3"/>
  <c r="D4" i="3"/>
  <c r="E4" i="3"/>
  <c r="F4" i="3"/>
  <c r="G4" i="3"/>
  <c r="H4" i="3"/>
  <c r="I4" i="3"/>
  <c r="J4" i="3"/>
  <c r="K4" i="3"/>
  <c r="L4" i="3"/>
  <c r="M4" i="3"/>
  <c r="C5" i="3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C16" i="3"/>
  <c r="D16" i="3"/>
  <c r="E16" i="3"/>
  <c r="F16" i="3"/>
  <c r="G16" i="3"/>
  <c r="H16" i="3"/>
  <c r="I16" i="3"/>
  <c r="J16" i="3"/>
  <c r="K16" i="3"/>
  <c r="L16" i="3"/>
  <c r="M16" i="3"/>
  <c r="C17" i="3"/>
  <c r="D17" i="3"/>
  <c r="E17" i="3"/>
  <c r="F17" i="3"/>
  <c r="G17" i="3"/>
  <c r="H17" i="3"/>
  <c r="I17" i="3"/>
  <c r="J17" i="3"/>
  <c r="K17" i="3"/>
  <c r="L17" i="3"/>
  <c r="M17" i="3"/>
  <c r="C18" i="3"/>
  <c r="D18" i="3"/>
  <c r="E18" i="3"/>
  <c r="F18" i="3"/>
  <c r="G18" i="3"/>
  <c r="H18" i="3"/>
  <c r="I18" i="3"/>
  <c r="J18" i="3"/>
  <c r="K18" i="3"/>
  <c r="L18" i="3"/>
  <c r="M18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4" i="3"/>
  <c r="AW18" i="7"/>
  <c r="AV18" i="7"/>
  <c r="AU18" i="7"/>
  <c r="AT18" i="7"/>
  <c r="AS18" i="7"/>
  <c r="AR18" i="7"/>
  <c r="AQ18" i="7"/>
  <c r="AP18" i="7"/>
  <c r="AO18" i="7"/>
  <c r="AN18" i="7"/>
  <c r="AM18" i="7"/>
  <c r="AL18" i="7"/>
  <c r="AX18" i="7" s="1"/>
  <c r="AW17" i="7"/>
  <c r="AV17" i="7"/>
  <c r="AU17" i="7"/>
  <c r="AT17" i="7"/>
  <c r="AS17" i="7"/>
  <c r="AR17" i="7"/>
  <c r="AQ17" i="7"/>
  <c r="AP17" i="7"/>
  <c r="AO17" i="7"/>
  <c r="AN17" i="7"/>
  <c r="AM17" i="7"/>
  <c r="AL17" i="7"/>
  <c r="AW16" i="7"/>
  <c r="AV16" i="7"/>
  <c r="AU16" i="7"/>
  <c r="AT16" i="7"/>
  <c r="AS16" i="7"/>
  <c r="AR16" i="7"/>
  <c r="AQ16" i="7"/>
  <c r="AP16" i="7"/>
  <c r="AO16" i="7"/>
  <c r="AN16" i="7"/>
  <c r="AM16" i="7"/>
  <c r="AL16" i="7"/>
  <c r="AW15" i="7"/>
  <c r="AV15" i="7"/>
  <c r="AU15" i="7"/>
  <c r="AT15" i="7"/>
  <c r="AS15" i="7"/>
  <c r="AR15" i="7"/>
  <c r="AQ15" i="7"/>
  <c r="AP15" i="7"/>
  <c r="AO15" i="7"/>
  <c r="AN15" i="7"/>
  <c r="AM15" i="7"/>
  <c r="AL15" i="7"/>
  <c r="AW14" i="7"/>
  <c r="AV14" i="7"/>
  <c r="AU14" i="7"/>
  <c r="AT14" i="7"/>
  <c r="AS14" i="7"/>
  <c r="AR14" i="7"/>
  <c r="AQ14" i="7"/>
  <c r="AP14" i="7"/>
  <c r="AO14" i="7"/>
  <c r="AN14" i="7"/>
  <c r="AM14" i="7"/>
  <c r="AL14" i="7"/>
  <c r="AW13" i="7"/>
  <c r="AV13" i="7"/>
  <c r="AU13" i="7"/>
  <c r="AT13" i="7"/>
  <c r="AS13" i="7"/>
  <c r="AR13" i="7"/>
  <c r="AQ13" i="7"/>
  <c r="AP13" i="7"/>
  <c r="AO13" i="7"/>
  <c r="AN13" i="7"/>
  <c r="AM13" i="7"/>
  <c r="AL13" i="7"/>
  <c r="AW12" i="7"/>
  <c r="AV12" i="7"/>
  <c r="AU12" i="7"/>
  <c r="AT12" i="7"/>
  <c r="AS12" i="7"/>
  <c r="AR12" i="7"/>
  <c r="AQ12" i="7"/>
  <c r="AP12" i="7"/>
  <c r="AO12" i="7"/>
  <c r="AN12" i="7"/>
  <c r="AM12" i="7"/>
  <c r="AL12" i="7"/>
  <c r="AW11" i="7"/>
  <c r="AV11" i="7"/>
  <c r="AU11" i="7"/>
  <c r="AT11" i="7"/>
  <c r="AS11" i="7"/>
  <c r="AR11" i="7"/>
  <c r="AQ11" i="7"/>
  <c r="AP11" i="7"/>
  <c r="AO11" i="7"/>
  <c r="AN11" i="7"/>
  <c r="AM11" i="7"/>
  <c r="AL11" i="7"/>
  <c r="AW10" i="7"/>
  <c r="AV10" i="7"/>
  <c r="AU10" i="7"/>
  <c r="AT10" i="7"/>
  <c r="AS10" i="7"/>
  <c r="AR10" i="7"/>
  <c r="AQ10" i="7"/>
  <c r="AP10" i="7"/>
  <c r="AO10" i="7"/>
  <c r="AN10" i="7"/>
  <c r="AM10" i="7"/>
  <c r="AL10" i="7"/>
  <c r="AW9" i="7"/>
  <c r="AV9" i="7"/>
  <c r="AU9" i="7"/>
  <c r="AT9" i="7"/>
  <c r="AS9" i="7"/>
  <c r="AR9" i="7"/>
  <c r="AQ9" i="7"/>
  <c r="AP9" i="7"/>
  <c r="AO9" i="7"/>
  <c r="AN9" i="7"/>
  <c r="AM9" i="7"/>
  <c r="AL9" i="7"/>
  <c r="AW8" i="7"/>
  <c r="AV8" i="7"/>
  <c r="AU8" i="7"/>
  <c r="AT8" i="7"/>
  <c r="AS8" i="7"/>
  <c r="AR8" i="7"/>
  <c r="AQ8" i="7"/>
  <c r="AP8" i="7"/>
  <c r="AO8" i="7"/>
  <c r="AN8" i="7"/>
  <c r="AM8" i="7"/>
  <c r="AL8" i="7"/>
  <c r="AW7" i="7"/>
  <c r="AV7" i="7"/>
  <c r="AU7" i="7"/>
  <c r="AT7" i="7"/>
  <c r="AS7" i="7"/>
  <c r="AR7" i="7"/>
  <c r="AQ7" i="7"/>
  <c r="AP7" i="7"/>
  <c r="AO7" i="7"/>
  <c r="AN7" i="7"/>
  <c r="AM7" i="7"/>
  <c r="AL7" i="7"/>
  <c r="AW6" i="7"/>
  <c r="AV6" i="7"/>
  <c r="AU6" i="7"/>
  <c r="AT6" i="7"/>
  <c r="AS6" i="7"/>
  <c r="AR6" i="7"/>
  <c r="AQ6" i="7"/>
  <c r="AP6" i="7"/>
  <c r="AO6" i="7"/>
  <c r="AN6" i="7"/>
  <c r="AM6" i="7"/>
  <c r="AL6" i="7"/>
  <c r="AW5" i="7"/>
  <c r="AV5" i="7"/>
  <c r="AU5" i="7"/>
  <c r="AT5" i="7"/>
  <c r="AS5" i="7"/>
  <c r="AR5" i="7"/>
  <c r="AQ5" i="7"/>
  <c r="AP5" i="7"/>
  <c r="AO5" i="7"/>
  <c r="AN5" i="7"/>
  <c r="AM5" i="7"/>
  <c r="AL5" i="7"/>
  <c r="AW4" i="7"/>
  <c r="AV4" i="7"/>
  <c r="AU4" i="7"/>
  <c r="AT4" i="7"/>
  <c r="AS4" i="7"/>
  <c r="AR4" i="7"/>
  <c r="AQ4" i="7"/>
  <c r="AP4" i="7"/>
  <c r="AO4" i="7"/>
  <c r="AN4" i="7"/>
  <c r="AM4" i="7"/>
  <c r="AL4" i="7"/>
  <c r="AW3" i="7"/>
  <c r="AV3" i="7"/>
  <c r="AU3" i="7"/>
  <c r="AT3" i="7"/>
  <c r="AS3" i="7"/>
  <c r="AR3" i="7"/>
  <c r="AQ3" i="7"/>
  <c r="AP3" i="7"/>
  <c r="AO3" i="7"/>
  <c r="AN3" i="7"/>
  <c r="AM3" i="7"/>
  <c r="AL3" i="7"/>
  <c r="FN4" i="6"/>
  <c r="FO4" i="6"/>
  <c r="FP4" i="6"/>
  <c r="FQ4" i="6"/>
  <c r="FR4" i="6"/>
  <c r="FS4" i="6"/>
  <c r="FT4" i="6"/>
  <c r="FU4" i="6"/>
  <c r="FV4" i="6"/>
  <c r="FW4" i="6"/>
  <c r="FX4" i="6"/>
  <c r="FY4" i="6"/>
  <c r="FZ4" i="6"/>
  <c r="FN5" i="6"/>
  <c r="FO5" i="6"/>
  <c r="FP5" i="6"/>
  <c r="FQ5" i="6"/>
  <c r="FR5" i="6"/>
  <c r="FS5" i="6"/>
  <c r="FT5" i="6"/>
  <c r="FU5" i="6"/>
  <c r="FV5" i="6"/>
  <c r="FW5" i="6"/>
  <c r="FX5" i="6"/>
  <c r="FY5" i="6"/>
  <c r="FZ5" i="6"/>
  <c r="FN6" i="6"/>
  <c r="FO6" i="6"/>
  <c r="FP6" i="6"/>
  <c r="FQ6" i="6"/>
  <c r="FR6" i="6"/>
  <c r="FS6" i="6"/>
  <c r="FT6" i="6"/>
  <c r="FU6" i="6"/>
  <c r="FV6" i="6"/>
  <c r="FW6" i="6"/>
  <c r="FX6" i="6"/>
  <c r="FY6" i="6"/>
  <c r="FN7" i="6"/>
  <c r="FO7" i="6"/>
  <c r="FP7" i="6"/>
  <c r="FQ7" i="6"/>
  <c r="FR7" i="6"/>
  <c r="FS7" i="6"/>
  <c r="FT7" i="6"/>
  <c r="FU7" i="6"/>
  <c r="FV7" i="6"/>
  <c r="FW7" i="6"/>
  <c r="FX7" i="6"/>
  <c r="FY7" i="6"/>
  <c r="FN8" i="6"/>
  <c r="FO8" i="6"/>
  <c r="FP8" i="6"/>
  <c r="FQ8" i="6"/>
  <c r="FR8" i="6"/>
  <c r="FS8" i="6"/>
  <c r="FT8" i="6"/>
  <c r="FU8" i="6"/>
  <c r="FV8" i="6"/>
  <c r="FW8" i="6"/>
  <c r="FX8" i="6"/>
  <c r="FY8" i="6"/>
  <c r="FN9" i="6"/>
  <c r="FO9" i="6"/>
  <c r="FP9" i="6"/>
  <c r="FQ9" i="6"/>
  <c r="FR9" i="6"/>
  <c r="FS9" i="6"/>
  <c r="FT9" i="6"/>
  <c r="FU9" i="6"/>
  <c r="FV9" i="6"/>
  <c r="FW9" i="6"/>
  <c r="FX9" i="6"/>
  <c r="FY9" i="6"/>
  <c r="FZ9" i="6" s="1"/>
  <c r="FN10" i="6"/>
  <c r="FO10" i="6"/>
  <c r="FP10" i="6"/>
  <c r="FQ10" i="6"/>
  <c r="FR10" i="6"/>
  <c r="FS10" i="6"/>
  <c r="FT10" i="6"/>
  <c r="FU10" i="6"/>
  <c r="FV10" i="6"/>
  <c r="FW10" i="6"/>
  <c r="FX10" i="6"/>
  <c r="FY10" i="6"/>
  <c r="FN11" i="6"/>
  <c r="FO11" i="6"/>
  <c r="FP11" i="6"/>
  <c r="FQ11" i="6"/>
  <c r="FR11" i="6"/>
  <c r="FS11" i="6"/>
  <c r="FT11" i="6"/>
  <c r="FU11" i="6"/>
  <c r="FV11" i="6"/>
  <c r="FW11" i="6"/>
  <c r="FX11" i="6"/>
  <c r="FY11" i="6"/>
  <c r="FZ11" i="6"/>
  <c r="FN12" i="6"/>
  <c r="FO12" i="6"/>
  <c r="FP12" i="6"/>
  <c r="FQ12" i="6"/>
  <c r="FR12" i="6"/>
  <c r="FS12" i="6"/>
  <c r="FT12" i="6"/>
  <c r="FU12" i="6"/>
  <c r="FV12" i="6"/>
  <c r="FW12" i="6"/>
  <c r="FX12" i="6"/>
  <c r="FY12" i="6"/>
  <c r="FZ12" i="6"/>
  <c r="FN13" i="6"/>
  <c r="FO13" i="6"/>
  <c r="FP13" i="6"/>
  <c r="FQ13" i="6"/>
  <c r="FR13" i="6"/>
  <c r="FS13" i="6"/>
  <c r="FT13" i="6"/>
  <c r="FU13" i="6"/>
  <c r="FV13" i="6"/>
  <c r="FW13" i="6"/>
  <c r="FX13" i="6"/>
  <c r="FY13" i="6"/>
  <c r="FZ13" i="6"/>
  <c r="FN14" i="6"/>
  <c r="FO14" i="6"/>
  <c r="FP14" i="6"/>
  <c r="FQ14" i="6"/>
  <c r="FR14" i="6"/>
  <c r="FS14" i="6"/>
  <c r="FT14" i="6"/>
  <c r="FU14" i="6"/>
  <c r="FV14" i="6"/>
  <c r="FW14" i="6"/>
  <c r="FX14" i="6"/>
  <c r="FY14" i="6"/>
  <c r="FN15" i="6"/>
  <c r="FO15" i="6"/>
  <c r="FP15" i="6"/>
  <c r="FQ15" i="6"/>
  <c r="FR15" i="6"/>
  <c r="FS15" i="6"/>
  <c r="FT15" i="6"/>
  <c r="FU15" i="6"/>
  <c r="FV15" i="6"/>
  <c r="FW15" i="6"/>
  <c r="FX15" i="6"/>
  <c r="FY15" i="6"/>
  <c r="FZ15" i="6"/>
  <c r="FN16" i="6"/>
  <c r="FO16" i="6"/>
  <c r="FP16" i="6"/>
  <c r="FQ16" i="6"/>
  <c r="FR16" i="6"/>
  <c r="FS16" i="6"/>
  <c r="FT16" i="6"/>
  <c r="FU16" i="6"/>
  <c r="FV16" i="6"/>
  <c r="FW16" i="6"/>
  <c r="FX16" i="6"/>
  <c r="FY16" i="6"/>
  <c r="FZ16" i="6" s="1"/>
  <c r="FN17" i="6"/>
  <c r="FO17" i="6"/>
  <c r="FP17" i="6"/>
  <c r="FQ17" i="6"/>
  <c r="FR17" i="6"/>
  <c r="FS17" i="6"/>
  <c r="FT17" i="6"/>
  <c r="FU17" i="6"/>
  <c r="FV17" i="6"/>
  <c r="FW17" i="6"/>
  <c r="FX17" i="6"/>
  <c r="FY17" i="6"/>
  <c r="FZ17" i="6"/>
  <c r="FN18" i="6"/>
  <c r="FO18" i="6"/>
  <c r="FP18" i="6"/>
  <c r="FQ18" i="6"/>
  <c r="FR18" i="6"/>
  <c r="FS18" i="6"/>
  <c r="FT18" i="6"/>
  <c r="FU18" i="6"/>
  <c r="FV18" i="6"/>
  <c r="FW18" i="6"/>
  <c r="FX18" i="6"/>
  <c r="FY18" i="6"/>
  <c r="FZ18" i="6"/>
  <c r="FY3" i="6"/>
  <c r="FX3" i="6"/>
  <c r="FS3" i="6"/>
  <c r="FR3" i="6"/>
  <c r="FQ3" i="6"/>
  <c r="FP3" i="6"/>
  <c r="FO3" i="6"/>
  <c r="FN3" i="6"/>
  <c r="FT3" i="6"/>
  <c r="FU3" i="6"/>
  <c r="FV3" i="6"/>
  <c r="FW3" i="6"/>
  <c r="K4" i="8"/>
  <c r="W4" i="8" s="1"/>
  <c r="M4" i="8"/>
  <c r="P4" i="8"/>
  <c r="T4" i="8"/>
  <c r="V4" i="8"/>
  <c r="K5" i="8"/>
  <c r="M5" i="8"/>
  <c r="P5" i="8"/>
  <c r="T5" i="8"/>
  <c r="V5" i="8"/>
  <c r="K6" i="8"/>
  <c r="M6" i="8"/>
  <c r="P6" i="8"/>
  <c r="T6" i="8"/>
  <c r="V6" i="8"/>
  <c r="K7" i="8"/>
  <c r="M7" i="8"/>
  <c r="P7" i="8"/>
  <c r="T7" i="8"/>
  <c r="V7" i="8"/>
  <c r="K8" i="8"/>
  <c r="M8" i="8"/>
  <c r="P8" i="8"/>
  <c r="T8" i="8"/>
  <c r="V8" i="8"/>
  <c r="K9" i="8"/>
  <c r="M9" i="8"/>
  <c r="P9" i="8"/>
  <c r="T9" i="8"/>
  <c r="V9" i="8"/>
  <c r="K10" i="8"/>
  <c r="M10" i="8"/>
  <c r="P10" i="8"/>
  <c r="T10" i="8"/>
  <c r="V10" i="8"/>
  <c r="K11" i="8"/>
  <c r="M11" i="8"/>
  <c r="P11" i="8"/>
  <c r="T11" i="8"/>
  <c r="V11" i="8"/>
  <c r="K12" i="8"/>
  <c r="M12" i="8"/>
  <c r="P12" i="8"/>
  <c r="T12" i="8"/>
  <c r="V12" i="8"/>
  <c r="K13" i="8"/>
  <c r="M13" i="8"/>
  <c r="P13" i="8"/>
  <c r="T13" i="8"/>
  <c r="V13" i="8"/>
  <c r="K14" i="8"/>
  <c r="M14" i="8"/>
  <c r="P14" i="8"/>
  <c r="T14" i="8"/>
  <c r="V14" i="8"/>
  <c r="K15" i="8"/>
  <c r="W15" i="8" s="1"/>
  <c r="M15" i="8"/>
  <c r="P15" i="8"/>
  <c r="T15" i="8"/>
  <c r="V15" i="8"/>
  <c r="K16" i="8"/>
  <c r="M16" i="8"/>
  <c r="P16" i="8"/>
  <c r="T16" i="8"/>
  <c r="V16" i="8"/>
  <c r="K17" i="8"/>
  <c r="M17" i="8"/>
  <c r="P17" i="8"/>
  <c r="T17" i="8"/>
  <c r="V17" i="8"/>
  <c r="K18" i="8"/>
  <c r="M18" i="8"/>
  <c r="P18" i="8"/>
  <c r="T18" i="8"/>
  <c r="V18" i="8"/>
  <c r="W5" i="8"/>
  <c r="W6" i="8"/>
  <c r="W9" i="8"/>
  <c r="W10" i="8"/>
  <c r="W13" i="8"/>
  <c r="W14" i="8"/>
  <c r="W17" i="8"/>
  <c r="W18" i="8"/>
  <c r="V3" i="8"/>
  <c r="T3" i="8"/>
  <c r="P3" i="8"/>
  <c r="M3" i="8"/>
  <c r="K3" i="8"/>
  <c r="W3" i="8" s="1"/>
  <c r="FZ8" i="6" l="1"/>
  <c r="FZ7" i="6"/>
  <c r="FZ10" i="6"/>
  <c r="O3" i="3"/>
  <c r="P3" i="3"/>
  <c r="Q3" i="3"/>
  <c r="R3" i="3"/>
  <c r="S3" i="3"/>
  <c r="T3" i="3"/>
  <c r="U3" i="3"/>
  <c r="V3" i="3"/>
  <c r="W3" i="3"/>
  <c r="X3" i="3"/>
  <c r="Y3" i="3"/>
  <c r="C3" i="3"/>
  <c r="D3" i="3"/>
  <c r="E3" i="3"/>
  <c r="F3" i="3"/>
  <c r="G3" i="3"/>
  <c r="H3" i="3"/>
  <c r="I3" i="3"/>
  <c r="J3" i="3"/>
  <c r="K3" i="3"/>
  <c r="L3" i="3"/>
  <c r="M3" i="3"/>
  <c r="AA3" i="3"/>
  <c r="AY3" i="3" s="1"/>
  <c r="AB3" i="3"/>
  <c r="AD3" i="3"/>
  <c r="BB3" i="3" s="1"/>
  <c r="AE3" i="3"/>
  <c r="BC3" i="3" s="1"/>
  <c r="AF3" i="3"/>
  <c r="BD3" i="3" s="1"/>
  <c r="AG3" i="3"/>
  <c r="AH3" i="3"/>
  <c r="AJ3" i="3"/>
  <c r="AK3" i="3"/>
  <c r="AC3" i="3"/>
  <c r="BA3" i="3" s="1"/>
  <c r="AI3" i="3"/>
  <c r="W8" i="8"/>
  <c r="W7" i="8"/>
  <c r="W11" i="8"/>
  <c r="W12" i="8"/>
  <c r="W16" i="8"/>
  <c r="AX17" i="7"/>
  <c r="AX16" i="7"/>
  <c r="AX15" i="7"/>
  <c r="AX14" i="7"/>
  <c r="AX13" i="7"/>
  <c r="AX3" i="7"/>
  <c r="AX18" i="3"/>
  <c r="AX17" i="3"/>
  <c r="AX16" i="3"/>
  <c r="AX15" i="3"/>
  <c r="AX14" i="3"/>
  <c r="FZ14" i="6"/>
  <c r="B3" i="3"/>
  <c r="FZ6" i="6"/>
  <c r="FZ3" i="6"/>
  <c r="AY4" i="3"/>
  <c r="AZ4" i="3"/>
  <c r="BA4" i="3"/>
  <c r="BB4" i="3"/>
  <c r="BC4" i="3"/>
  <c r="BD4" i="3"/>
  <c r="BE4" i="3"/>
  <c r="BF4" i="3"/>
  <c r="BG4" i="3"/>
  <c r="BH4" i="3"/>
  <c r="BI4" i="3"/>
  <c r="AX12" i="7"/>
  <c r="AX11" i="7"/>
  <c r="AX10" i="7"/>
  <c r="AX11" i="3" s="1"/>
  <c r="AX9" i="7"/>
  <c r="AX10" i="3" s="1"/>
  <c r="AX8" i="7"/>
  <c r="AX9" i="3" s="1"/>
  <c r="AX7" i="7"/>
  <c r="AX8" i="3" s="1"/>
  <c r="AX6" i="7"/>
  <c r="AX7" i="3" s="1"/>
  <c r="AX5" i="7"/>
  <c r="AX6" i="3" s="1"/>
  <c r="AX4" i="7"/>
  <c r="BI9" i="3"/>
  <c r="BI8" i="3"/>
  <c r="BI7" i="3"/>
  <c r="BE14" i="3"/>
  <c r="BA5" i="3"/>
  <c r="BC5" i="3"/>
  <c r="BD5" i="3"/>
  <c r="BE5" i="3"/>
  <c r="BG5" i="3"/>
  <c r="BH5" i="3"/>
  <c r="BI5" i="3"/>
  <c r="BA6" i="3"/>
  <c r="BC6" i="3"/>
  <c r="BD6" i="3"/>
  <c r="BG6" i="3"/>
  <c r="BH6" i="3"/>
  <c r="BA7" i="3"/>
  <c r="BB7" i="3"/>
  <c r="BE7" i="3"/>
  <c r="BF7" i="3"/>
  <c r="BA8" i="3"/>
  <c r="BB8" i="3"/>
  <c r="BD8" i="3"/>
  <c r="BE8" i="3"/>
  <c r="BF8" i="3"/>
  <c r="BH8" i="3"/>
  <c r="BA9" i="3"/>
  <c r="BC9" i="3"/>
  <c r="BD9" i="3"/>
  <c r="BE9" i="3"/>
  <c r="BG9" i="3"/>
  <c r="BH9" i="3"/>
  <c r="BC10" i="3"/>
  <c r="BD10" i="3"/>
  <c r="BG10" i="3"/>
  <c r="BH10" i="3"/>
  <c r="BA11" i="3"/>
  <c r="BB11" i="3"/>
  <c r="BD11" i="3"/>
  <c r="BE11" i="3"/>
  <c r="BF11" i="3"/>
  <c r="BI11" i="3"/>
  <c r="BA12" i="3"/>
  <c r="BB12" i="3"/>
  <c r="BD12" i="3"/>
  <c r="BE12" i="3"/>
  <c r="BF12" i="3"/>
  <c r="BH12" i="3"/>
  <c r="BI12" i="3"/>
  <c r="BA13" i="3"/>
  <c r="BC13" i="3"/>
  <c r="BD13" i="3"/>
  <c r="BE13" i="3"/>
  <c r="BG13" i="3"/>
  <c r="BH13" i="3"/>
  <c r="BI13" i="3"/>
  <c r="BC14" i="3"/>
  <c r="BD14" i="3"/>
  <c r="BG14" i="3"/>
  <c r="BH14" i="3"/>
  <c r="BA15" i="3"/>
  <c r="BB15" i="3"/>
  <c r="BE15" i="3"/>
  <c r="BF15" i="3"/>
  <c r="BI15" i="3"/>
  <c r="BA16" i="3"/>
  <c r="BB16" i="3"/>
  <c r="BD16" i="3"/>
  <c r="BE16" i="3"/>
  <c r="BF16" i="3"/>
  <c r="BH16" i="3"/>
  <c r="BI16" i="3"/>
  <c r="BA17" i="3"/>
  <c r="BC17" i="3"/>
  <c r="BD17" i="3"/>
  <c r="BE17" i="3"/>
  <c r="BG17" i="3"/>
  <c r="BH17" i="3"/>
  <c r="BI17" i="3"/>
  <c r="BC18" i="3"/>
  <c r="BD18" i="3"/>
  <c r="BG18" i="3"/>
  <c r="BH18" i="3"/>
  <c r="BI18" i="3"/>
  <c r="AZ5" i="3"/>
  <c r="AZ6" i="3"/>
  <c r="AZ7" i="3"/>
  <c r="AZ9" i="3"/>
  <c r="AZ10" i="3"/>
  <c r="AZ11" i="3"/>
  <c r="AZ13" i="3"/>
  <c r="AZ14" i="3"/>
  <c r="AZ15" i="3"/>
  <c r="AZ17" i="3"/>
  <c r="AZ18" i="3"/>
  <c r="AY5" i="3"/>
  <c r="AY6" i="3"/>
  <c r="AY7" i="3"/>
  <c r="AY8" i="3"/>
  <c r="AY9" i="3"/>
  <c r="AY10" i="3"/>
  <c r="AY11" i="3"/>
  <c r="AY12" i="3"/>
  <c r="AY13" i="3"/>
  <c r="AY14" i="3"/>
  <c r="AY15" i="3"/>
  <c r="AY16" i="3"/>
  <c r="AY17" i="3"/>
  <c r="AY18" i="3"/>
  <c r="BH15" i="3"/>
  <c r="BD15" i="3"/>
  <c r="BH11" i="3"/>
  <c r="BH7" i="3"/>
  <c r="BD7" i="3"/>
  <c r="AZ16" i="3"/>
  <c r="AZ12" i="3"/>
  <c r="AZ8" i="3"/>
  <c r="BE18" i="3"/>
  <c r="BA18" i="3"/>
  <c r="BG16" i="3"/>
  <c r="BC16" i="3"/>
  <c r="BI14" i="3"/>
  <c r="BA14" i="3"/>
  <c r="BG12" i="3"/>
  <c r="BC12" i="3"/>
  <c r="BI10" i="3"/>
  <c r="BE10" i="3"/>
  <c r="BA10" i="3"/>
  <c r="BG8" i="3"/>
  <c r="BC8" i="3"/>
  <c r="BE6" i="3"/>
  <c r="BF18" i="3"/>
  <c r="BF10" i="3"/>
  <c r="BF17" i="3"/>
  <c r="BB17" i="3"/>
  <c r="BF13" i="3"/>
  <c r="BB13" i="3"/>
  <c r="BF9" i="3"/>
  <c r="BB9" i="3"/>
  <c r="BF5" i="3"/>
  <c r="BB5" i="3"/>
  <c r="BG15" i="3"/>
  <c r="BC15" i="3"/>
  <c r="BG11" i="3"/>
  <c r="BC11" i="3"/>
  <c r="BG7" i="3"/>
  <c r="BC7" i="3"/>
  <c r="BB18" i="3"/>
  <c r="BF14" i="3"/>
  <c r="BB14" i="3"/>
  <c r="BB10" i="3"/>
  <c r="BF6" i="3"/>
  <c r="BB6" i="3"/>
  <c r="AZ3" i="3" l="1"/>
  <c r="BE3" i="3"/>
  <c r="BF3" i="3"/>
  <c r="BG3" i="3"/>
  <c r="BH3" i="3"/>
  <c r="BI3" i="3"/>
  <c r="AX13" i="3"/>
  <c r="AX12" i="3"/>
  <c r="AX5" i="3"/>
  <c r="AX4" i="3"/>
  <c r="BJ4" i="3" s="1"/>
  <c r="AX3" i="3"/>
  <c r="BJ3" i="3" s="1"/>
  <c r="BJ7" i="3"/>
  <c r="BJ8" i="3"/>
  <c r="BJ11" i="3"/>
  <c r="BJ12" i="3"/>
  <c r="BJ15" i="3"/>
  <c r="BJ16" i="3"/>
  <c r="BJ18" i="3"/>
  <c r="BJ10" i="3"/>
  <c r="BJ17" i="3"/>
  <c r="BJ13" i="3"/>
  <c r="BJ9" i="3"/>
  <c r="BJ5" i="3"/>
  <c r="BJ14" i="3"/>
  <c r="BI6" i="3"/>
  <c r="BJ6" i="3" s="1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B3" i="9"/>
  <c r="Y18" i="9"/>
  <c r="X18" i="9"/>
  <c r="W18" i="9"/>
  <c r="V18" i="9"/>
  <c r="U18" i="9"/>
  <c r="T18" i="9"/>
  <c r="S18" i="9"/>
  <c r="R18" i="9"/>
  <c r="Q18" i="9"/>
  <c r="P18" i="9"/>
  <c r="O18" i="9"/>
  <c r="N18" i="9"/>
  <c r="Y17" i="9"/>
  <c r="X17" i="9"/>
  <c r="W17" i="9"/>
  <c r="V17" i="9"/>
  <c r="U17" i="9"/>
  <c r="T17" i="9"/>
  <c r="S17" i="9"/>
  <c r="R17" i="9"/>
  <c r="Q17" i="9"/>
  <c r="P17" i="9"/>
  <c r="O17" i="9"/>
  <c r="N17" i="9"/>
  <c r="Y16" i="9"/>
  <c r="X16" i="9"/>
  <c r="W16" i="9"/>
  <c r="V16" i="9"/>
  <c r="U16" i="9"/>
  <c r="T16" i="9"/>
  <c r="S16" i="9"/>
  <c r="R16" i="9"/>
  <c r="Q16" i="9"/>
  <c r="P16" i="9"/>
  <c r="O16" i="9"/>
  <c r="N16" i="9"/>
  <c r="Y15" i="9"/>
  <c r="X15" i="9"/>
  <c r="W15" i="9"/>
  <c r="V15" i="9"/>
  <c r="U15" i="9"/>
  <c r="T15" i="9"/>
  <c r="S15" i="9"/>
  <c r="R15" i="9"/>
  <c r="Q15" i="9"/>
  <c r="P15" i="9"/>
  <c r="O15" i="9"/>
  <c r="N15" i="9"/>
  <c r="Y14" i="9"/>
  <c r="X14" i="9"/>
  <c r="W14" i="9"/>
  <c r="V14" i="9"/>
  <c r="U14" i="9"/>
  <c r="T14" i="9"/>
  <c r="S14" i="9"/>
  <c r="R14" i="9"/>
  <c r="Q14" i="9"/>
  <c r="P14" i="9"/>
  <c r="O14" i="9"/>
  <c r="N14" i="9"/>
  <c r="Y13" i="9"/>
  <c r="X13" i="9"/>
  <c r="W13" i="9"/>
  <c r="V13" i="9"/>
  <c r="U13" i="9"/>
  <c r="T13" i="9"/>
  <c r="S13" i="9"/>
  <c r="R13" i="9"/>
  <c r="Q13" i="9"/>
  <c r="P13" i="9"/>
  <c r="O13" i="9"/>
  <c r="N13" i="9"/>
  <c r="Y12" i="9"/>
  <c r="X12" i="9"/>
  <c r="W12" i="9"/>
  <c r="V12" i="9"/>
  <c r="U12" i="9"/>
  <c r="T12" i="9"/>
  <c r="S12" i="9"/>
  <c r="R12" i="9"/>
  <c r="Q12" i="9"/>
  <c r="P12" i="9"/>
  <c r="O12" i="9"/>
  <c r="N12" i="9"/>
  <c r="Y11" i="9"/>
  <c r="X11" i="9"/>
  <c r="W11" i="9"/>
  <c r="V11" i="9"/>
  <c r="U11" i="9"/>
  <c r="T11" i="9"/>
  <c r="S11" i="9"/>
  <c r="R11" i="9"/>
  <c r="Q11" i="9"/>
  <c r="P11" i="9"/>
  <c r="O11" i="9"/>
  <c r="N11" i="9"/>
  <c r="Y10" i="9"/>
  <c r="X10" i="9"/>
  <c r="W10" i="9"/>
  <c r="V10" i="9"/>
  <c r="U10" i="9"/>
  <c r="T10" i="9"/>
  <c r="S10" i="9"/>
  <c r="R10" i="9"/>
  <c r="Q10" i="9"/>
  <c r="P10" i="9"/>
  <c r="O10" i="9"/>
  <c r="N10" i="9"/>
  <c r="Y9" i="9"/>
  <c r="X9" i="9"/>
  <c r="W9" i="9"/>
  <c r="V9" i="9"/>
  <c r="U9" i="9"/>
  <c r="T9" i="9"/>
  <c r="S9" i="9"/>
  <c r="R9" i="9"/>
  <c r="Q9" i="9"/>
  <c r="P9" i="9"/>
  <c r="O9" i="9"/>
  <c r="N9" i="9"/>
  <c r="Y8" i="9"/>
  <c r="X8" i="9"/>
  <c r="W8" i="9"/>
  <c r="V8" i="9"/>
  <c r="U8" i="9"/>
  <c r="T8" i="9"/>
  <c r="S8" i="9"/>
  <c r="R8" i="9"/>
  <c r="Q8" i="9"/>
  <c r="P8" i="9"/>
  <c r="O8" i="9"/>
  <c r="N8" i="9"/>
  <c r="Y7" i="9"/>
  <c r="X7" i="9"/>
  <c r="W7" i="9"/>
  <c r="V7" i="9"/>
  <c r="U7" i="9"/>
  <c r="T7" i="9"/>
  <c r="S7" i="9"/>
  <c r="R7" i="9"/>
  <c r="Q7" i="9"/>
  <c r="P7" i="9"/>
  <c r="O7" i="9"/>
  <c r="N7" i="9"/>
  <c r="X6" i="9"/>
  <c r="W6" i="9"/>
  <c r="V6" i="9"/>
  <c r="T6" i="9"/>
  <c r="S6" i="9"/>
  <c r="R6" i="9"/>
  <c r="P6" i="9"/>
  <c r="O6" i="9"/>
  <c r="N6" i="9"/>
  <c r="Y5" i="9"/>
  <c r="X5" i="9"/>
  <c r="W5" i="9"/>
  <c r="V5" i="9"/>
  <c r="U5" i="9"/>
  <c r="T5" i="9"/>
  <c r="S5" i="9"/>
  <c r="R5" i="9"/>
  <c r="Q5" i="9"/>
  <c r="P5" i="9"/>
  <c r="O5" i="9"/>
  <c r="N5" i="9"/>
  <c r="Y4" i="9"/>
  <c r="X4" i="9"/>
  <c r="V4" i="9"/>
  <c r="U4" i="9"/>
  <c r="T4" i="9"/>
  <c r="S4" i="9"/>
  <c r="R4" i="9"/>
  <c r="Q4" i="9"/>
  <c r="P4" i="9"/>
  <c r="O4" i="9"/>
  <c r="N4" i="9"/>
  <c r="Z5" i="9" l="1"/>
  <c r="Z7" i="9"/>
  <c r="Z8" i="9"/>
  <c r="Z9" i="9"/>
  <c r="Z10" i="9"/>
  <c r="Z11" i="9"/>
  <c r="Z12" i="9"/>
  <c r="Z13" i="9"/>
  <c r="Z14" i="9"/>
  <c r="Z15" i="9"/>
  <c r="Z16" i="9"/>
  <c r="Z17" i="9"/>
  <c r="Z18" i="9"/>
  <c r="W4" i="9"/>
  <c r="Q6" i="9"/>
  <c r="Z6" i="9" s="1"/>
  <c r="Y6" i="9"/>
  <c r="U6" i="9"/>
  <c r="C143" i="1"/>
  <c r="B143" i="1"/>
  <c r="D141" i="1"/>
  <c r="D143" i="1" s="1"/>
  <c r="F143" i="1" s="1"/>
  <c r="C111" i="1"/>
  <c r="B111" i="1"/>
  <c r="D109" i="1"/>
  <c r="D111" i="1" s="1"/>
  <c r="C63" i="1"/>
  <c r="B63" i="1"/>
  <c r="D61" i="1"/>
  <c r="D63" i="1" s="1"/>
  <c r="C47" i="1"/>
  <c r="B47" i="1"/>
  <c r="D45" i="1"/>
  <c r="D47" i="1" s="1"/>
  <c r="Z4" i="9" l="1"/>
  <c r="E143" i="1"/>
  <c r="F141" i="1"/>
  <c r="E141" i="1"/>
  <c r="F109" i="1"/>
  <c r="F111" i="1"/>
  <c r="E111" i="1"/>
  <c r="E109" i="1"/>
  <c r="F61" i="1"/>
  <c r="F45" i="1"/>
  <c r="F63" i="1"/>
  <c r="E63" i="1"/>
  <c r="E61" i="1"/>
  <c r="F47" i="1"/>
  <c r="E47" i="1"/>
  <c r="E45" i="1"/>
  <c r="D93" i="1"/>
  <c r="E93" i="1" s="1"/>
  <c r="D77" i="1"/>
  <c r="E77" i="1" s="1"/>
  <c r="D157" i="1"/>
  <c r="E157" i="1" s="1"/>
  <c r="D189" i="1"/>
  <c r="F189" i="1" s="1"/>
  <c r="D13" i="1"/>
  <c r="E13" i="1" s="1"/>
  <c r="D173" i="1"/>
  <c r="E173" i="1" s="1"/>
  <c r="D125" i="1"/>
  <c r="F125" i="1" s="1"/>
  <c r="D29" i="1"/>
  <c r="F29" i="1" s="1"/>
  <c r="F173" i="1" l="1"/>
  <c r="F157" i="1"/>
  <c r="E125" i="1"/>
  <c r="E189" i="1"/>
  <c r="F77" i="1"/>
  <c r="E29" i="1"/>
  <c r="F13" i="1"/>
  <c r="F93" i="1"/>
  <c r="D79" i="1"/>
  <c r="D15" i="1"/>
  <c r="D175" i="1"/>
  <c r="D95" i="1"/>
  <c r="C95" i="1"/>
  <c r="B95" i="1"/>
  <c r="C79" i="1"/>
  <c r="B79" i="1"/>
  <c r="D159" i="1"/>
  <c r="C159" i="1"/>
  <c r="B159" i="1"/>
  <c r="D191" i="1"/>
  <c r="C191" i="1"/>
  <c r="B191" i="1"/>
  <c r="C15" i="1"/>
  <c r="B15" i="1"/>
  <c r="C175" i="1"/>
  <c r="B175" i="1"/>
  <c r="D127" i="1"/>
  <c r="C127" i="1"/>
  <c r="B127" i="1"/>
  <c r="E15" i="1" l="1"/>
  <c r="F191" i="1"/>
  <c r="E95" i="1"/>
  <c r="F175" i="1"/>
  <c r="F127" i="1"/>
  <c r="F95" i="1"/>
  <c r="E79" i="1"/>
  <c r="F79" i="1"/>
  <c r="E159" i="1"/>
  <c r="F159" i="1"/>
  <c r="E191" i="1"/>
  <c r="F15" i="1"/>
  <c r="E175" i="1"/>
  <c r="E127" i="1"/>
  <c r="B15" i="2"/>
  <c r="C31" i="1"/>
  <c r="B31" i="1"/>
  <c r="D31" i="1" l="1"/>
  <c r="E31" i="1" s="1"/>
  <c r="F3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D8A86D-2C1D-4D4B-B54E-608FE63CB6F2}" keepAlive="1" name="Consulta - Consulta1" description="Conexão com a consulta 'Consulta1' na pasta de trabalho." type="5" refreshedVersion="8" background="1" saveData="1">
    <dbPr connection="Provider=Microsoft.Mashup.OleDb.1;Data Source=$Workbook$;Location=Consulta1;Extended Properties=&quot;&quot;" command="SELECT * FROM [Consulta1]"/>
  </connection>
</connections>
</file>

<file path=xl/sharedStrings.xml><?xml version="1.0" encoding="utf-8"?>
<sst xmlns="http://schemas.openxmlformats.org/spreadsheetml/2006/main" count="813" uniqueCount="82">
  <si>
    <t>Competencia 2025</t>
  </si>
  <si>
    <t>Mesquita</t>
  </si>
  <si>
    <t>%</t>
  </si>
  <si>
    <t>FALTA</t>
  </si>
  <si>
    <t>AGENDAMENTO</t>
  </si>
  <si>
    <t>Competencia 20/12 a 19/01</t>
  </si>
  <si>
    <t>Competencia 20/01 a 19/02</t>
  </si>
  <si>
    <t>Competencia 20/02 a 19/03</t>
  </si>
  <si>
    <t>Competencia 20/03 a 19/04</t>
  </si>
  <si>
    <t>Competencia 20/04 a 19/05</t>
  </si>
  <si>
    <t>Competencia 20/05 a 19/06</t>
  </si>
  <si>
    <t>Competencia 20/06 a 19/07</t>
  </si>
  <si>
    <t>Competencia 20/07 a 19/08</t>
  </si>
  <si>
    <t>Competencia 20/08 a 19/09</t>
  </si>
  <si>
    <t>Competencia 20/09 a 19/10</t>
  </si>
  <si>
    <t>Competencia 20/10 a 19/11</t>
  </si>
  <si>
    <t>Competencia 20/11 a 19/12</t>
  </si>
  <si>
    <t>TOTAL</t>
  </si>
  <si>
    <t>Realizados</t>
  </si>
  <si>
    <t>Competencia 2024</t>
  </si>
  <si>
    <t>JAP</t>
  </si>
  <si>
    <t>PACOTE PRÉ-OPERATÓRIO PEDIÁTRICO OTORRINO</t>
  </si>
  <si>
    <t>PACOTE PRÉ-OPERATÓRIO PEDIÁTRICO CIRURGIA GERAL</t>
  </si>
  <si>
    <t>PACOTE PRÉ-OPERATÓRIO PEDIÁTRICO OFTALMOLOGISTA</t>
  </si>
  <si>
    <t>AMIGDALECTOMIA COM ADENOIDECTOMIA - PEDIATRICO</t>
  </si>
  <si>
    <t>TRATAMENTO CIRÚRGICO DE PERFURAÇÃO DO SEPTO NASAL - PEDIATRICO</t>
  </si>
  <si>
    <t>CORREÇÃO CIRÚRGICA DE ESTRABISMO (ACIMA DE 2 MUSCULOS) - PEDIATRICO</t>
  </si>
  <si>
    <t>HERNIOPLASTIA INGUINAL (BILATERAL) - PEDIATRICO</t>
  </si>
  <si>
    <t>TRATAMENTO CIRÚRGICO DE HIDROCELE - PEDIATRICO</t>
  </si>
  <si>
    <t>CORRECAO DE HIPOSPADIA (1º TEMPO) - PEDIATRICO</t>
  </si>
  <si>
    <t>AMIGDALECTOMIA - PEDIATRICO</t>
  </si>
  <si>
    <t>HERNIOPLASTIA UMBILICAL - PEDIATRICO</t>
  </si>
  <si>
    <t>ORQUIDOPEXIA BILATERAL - PEDIATRICO</t>
  </si>
  <si>
    <t>PLASTICA TOTAL DO PENIS - PEDIATRICO</t>
  </si>
  <si>
    <t>POSTECTOMIA - PEDIATRICO</t>
  </si>
  <si>
    <t>Período</t>
  </si>
  <si>
    <t>NIG</t>
  </si>
  <si>
    <t>SERO</t>
  </si>
  <si>
    <t>QUEI</t>
  </si>
  <si>
    <t>BEL</t>
  </si>
  <si>
    <t>DUQ</t>
  </si>
  <si>
    <t>SJM</t>
  </si>
  <si>
    <t>MESQ</t>
  </si>
  <si>
    <t>NIL</t>
  </si>
  <si>
    <t>IT</t>
  </si>
  <si>
    <t>MAG</t>
  </si>
  <si>
    <t>PARA</t>
  </si>
  <si>
    <t>Duque de Caxias</t>
  </si>
  <si>
    <t>Nova Iguaçu</t>
  </si>
  <si>
    <t>Belford Roxo</t>
  </si>
  <si>
    <t>Seropedica</t>
  </si>
  <si>
    <t>Queimados</t>
  </si>
  <si>
    <t>Magé</t>
  </si>
  <si>
    <t>Japeri</t>
  </si>
  <si>
    <t>Itaguaí</t>
  </si>
  <si>
    <t>Nilópolis</t>
  </si>
  <si>
    <t>Paracambi</t>
  </si>
  <si>
    <t>neoma</t>
  </si>
  <si>
    <t>20/10 a 19/11 2025</t>
  </si>
  <si>
    <t>ADENOIDECTOMIA - PEDIÁTRICO</t>
  </si>
  <si>
    <t>20/09 a 19/10</t>
  </si>
  <si>
    <t>20/10 a 19/11 2024</t>
  </si>
  <si>
    <t>20/09 a 19/10 2024</t>
  </si>
  <si>
    <t>20/11 a 19/12 2024</t>
  </si>
  <si>
    <t>Sero</t>
  </si>
  <si>
    <t>Neomater</t>
  </si>
  <si>
    <t>Neotin</t>
  </si>
  <si>
    <t>Prontobaby</t>
  </si>
  <si>
    <t>Segvision</t>
  </si>
  <si>
    <t>20/11 a 19/12 2025</t>
  </si>
  <si>
    <t>20/12 a 19/01 2026</t>
  </si>
  <si>
    <t>20/01 a 19/02 2026</t>
  </si>
  <si>
    <t>20/03 a 19/04 2026</t>
  </si>
  <si>
    <t>20/02 a 19/03 2026</t>
  </si>
  <si>
    <t>20/04 a 19/05 2026</t>
  </si>
  <si>
    <t>20/05 a 19/06 2026</t>
  </si>
  <si>
    <t>20/06 a 19/07 2026</t>
  </si>
  <si>
    <t>20/07 a 19/08 2026</t>
  </si>
  <si>
    <t>20/08 a 19/09 2026</t>
  </si>
  <si>
    <t>20/09 a 19/10 2026</t>
  </si>
  <si>
    <t>20/10 a 19/11 2026</t>
  </si>
  <si>
    <t>20/11 a 19/12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</si>
</sst>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ABDB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0" fontId="3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 wrapText="1"/>
    </xf>
    <xf numFmtId="0" fontId="5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2" xfId="0" applyBorder="1"/>
    <xf numFmtId="0" fontId="0" fillId="0" borderId="4" xfId="0" applyBorder="1"/>
    <xf numFmtId="0" fontId="2" fillId="0" borderId="5" xfId="0" applyFont="1" applyBorder="1"/>
    <xf numFmtId="0" fontId="0" fillId="0" borderId="3" xfId="0" applyBorder="1"/>
    <xf numFmtId="0" fontId="0" fillId="6" borderId="2" xfId="0" applyFill="1" applyBorder="1"/>
    <xf numFmtId="0" fontId="0" fillId="7" borderId="2" xfId="0" applyFill="1" applyBorder="1"/>
    <xf numFmtId="0" fontId="0" fillId="7" borderId="2" xfId="0" applyFill="1" applyBorder="1" applyAlignment="1">
      <alignment vertical="center"/>
    </xf>
    <xf numFmtId="0" fontId="2" fillId="5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191"/>
  <sheetViews>
    <sheetView workbookViewId="0">
      <selection activeCell="D134" sqref="D134"/>
    </sheetView>
  </sheetViews>
  <sheetFormatPr defaultRowHeight="15" x14ac:dyDescent="0.25"/>
  <cols>
    <col min="1" max="1" width="30.140625" customWidth="1"/>
    <col min="2" max="4" width="16.5703125" bestFit="1" customWidth="1"/>
    <col min="5" max="5" width="14.28515625" bestFit="1" customWidth="1"/>
    <col min="6" max="6" width="14.5703125" customWidth="1"/>
  </cols>
  <sheetData>
    <row r="1" spans="1:6" x14ac:dyDescent="0.25">
      <c r="A1" s="18" t="s">
        <v>0</v>
      </c>
      <c r="B1" s="1" t="s">
        <v>49</v>
      </c>
      <c r="C1" s="1" t="s">
        <v>49</v>
      </c>
      <c r="D1" s="1" t="s">
        <v>49</v>
      </c>
      <c r="E1" s="2" t="s">
        <v>2</v>
      </c>
      <c r="F1" s="2" t="s">
        <v>2</v>
      </c>
    </row>
    <row r="2" spans="1:6" x14ac:dyDescent="0.25">
      <c r="A2" s="19"/>
      <c r="B2" s="4" t="s">
        <v>18</v>
      </c>
      <c r="C2" s="3" t="s">
        <v>3</v>
      </c>
      <c r="D2" s="2" t="s">
        <v>4</v>
      </c>
      <c r="E2" s="2" t="s">
        <v>18</v>
      </c>
      <c r="F2" s="2" t="s">
        <v>3</v>
      </c>
    </row>
    <row r="3" spans="1:6" x14ac:dyDescent="0.25">
      <c r="A3" s="5" t="s">
        <v>5</v>
      </c>
      <c r="B3" s="6"/>
      <c r="C3" s="7"/>
      <c r="D3" s="2"/>
      <c r="E3" s="8"/>
      <c r="F3" s="8"/>
    </row>
    <row r="4" spans="1:6" x14ac:dyDescent="0.25">
      <c r="A4" s="5" t="s">
        <v>6</v>
      </c>
      <c r="B4" s="6"/>
      <c r="C4" s="7"/>
      <c r="D4" s="2"/>
      <c r="E4" s="8"/>
      <c r="F4" s="8"/>
    </row>
    <row r="5" spans="1:6" x14ac:dyDescent="0.25">
      <c r="A5" s="5" t="s">
        <v>7</v>
      </c>
      <c r="B5" s="6"/>
      <c r="C5" s="7"/>
      <c r="D5" s="2"/>
      <c r="E5" s="8"/>
      <c r="F5" s="8"/>
    </row>
    <row r="6" spans="1:6" x14ac:dyDescent="0.25">
      <c r="A6" s="5" t="s">
        <v>8</v>
      </c>
      <c r="B6" s="6"/>
      <c r="C6" s="7"/>
      <c r="D6" s="2"/>
      <c r="E6" s="8"/>
      <c r="F6" s="8"/>
    </row>
    <row r="7" spans="1:6" x14ac:dyDescent="0.25">
      <c r="A7" s="5" t="s">
        <v>9</v>
      </c>
      <c r="B7" s="6"/>
      <c r="C7" s="7"/>
      <c r="D7" s="2"/>
      <c r="E7" s="8"/>
      <c r="F7" s="8"/>
    </row>
    <row r="8" spans="1:6" x14ac:dyDescent="0.25">
      <c r="A8" s="5" t="s">
        <v>10</v>
      </c>
      <c r="B8" s="6"/>
      <c r="C8" s="7"/>
      <c r="D8" s="2"/>
      <c r="E8" s="8"/>
      <c r="F8" s="8"/>
    </row>
    <row r="9" spans="1:6" x14ac:dyDescent="0.25">
      <c r="A9" s="5" t="s">
        <v>11</v>
      </c>
      <c r="B9" s="6"/>
      <c r="C9" s="7"/>
      <c r="D9" s="2"/>
      <c r="E9" s="8"/>
      <c r="F9" s="8"/>
    </row>
    <row r="10" spans="1:6" x14ac:dyDescent="0.25">
      <c r="A10" s="5" t="s">
        <v>12</v>
      </c>
      <c r="B10" s="6"/>
      <c r="C10" s="7"/>
      <c r="D10" s="2"/>
      <c r="E10" s="8"/>
      <c r="F10" s="8"/>
    </row>
    <row r="11" spans="1:6" x14ac:dyDescent="0.25">
      <c r="A11" s="5" t="s">
        <v>13</v>
      </c>
      <c r="B11" s="6"/>
      <c r="C11" s="7"/>
      <c r="D11" s="2"/>
      <c r="E11" s="8"/>
      <c r="F11" s="8"/>
    </row>
    <row r="12" spans="1:6" x14ac:dyDescent="0.25">
      <c r="A12" s="5" t="s">
        <v>14</v>
      </c>
      <c r="B12" s="6"/>
      <c r="C12" s="7"/>
      <c r="D12" s="2"/>
      <c r="E12" s="8"/>
      <c r="F12" s="8"/>
    </row>
    <row r="13" spans="1:6" x14ac:dyDescent="0.25">
      <c r="A13" s="5" t="s">
        <v>15</v>
      </c>
      <c r="B13" s="6">
        <v>26</v>
      </c>
      <c r="C13" s="7">
        <v>2</v>
      </c>
      <c r="D13" s="2">
        <f>SUM(B13:C13)</f>
        <v>28</v>
      </c>
      <c r="E13" s="8">
        <f>B13/D13</f>
        <v>0.9285714285714286</v>
      </c>
      <c r="F13" s="8">
        <f>C13/D13</f>
        <v>7.1428571428571425E-2</v>
      </c>
    </row>
    <row r="14" spans="1:6" x14ac:dyDescent="0.25">
      <c r="A14" s="5" t="s">
        <v>16</v>
      </c>
      <c r="B14" s="6"/>
      <c r="C14" s="7"/>
      <c r="D14" s="2"/>
      <c r="E14" s="8"/>
      <c r="F14" s="8"/>
    </row>
    <row r="15" spans="1:6" x14ac:dyDescent="0.25">
      <c r="A15" s="9" t="s">
        <v>17</v>
      </c>
      <c r="B15" s="6">
        <f>SUM(B3:B14)</f>
        <v>26</v>
      </c>
      <c r="C15" s="7">
        <f>SUM(C3:C14)</f>
        <v>2</v>
      </c>
      <c r="D15" s="2">
        <f>SUM(D3:D14)</f>
        <v>28</v>
      </c>
      <c r="E15" s="8">
        <f>B15/D15</f>
        <v>0.9285714285714286</v>
      </c>
      <c r="F15" s="8">
        <f>C15/D15</f>
        <v>7.1428571428571425E-2</v>
      </c>
    </row>
    <row r="17" spans="1:6" x14ac:dyDescent="0.25">
      <c r="A17" s="18" t="s">
        <v>0</v>
      </c>
      <c r="B17" s="1" t="s">
        <v>47</v>
      </c>
      <c r="C17" s="1" t="s">
        <v>47</v>
      </c>
      <c r="D17" s="1" t="s">
        <v>47</v>
      </c>
      <c r="E17" s="2" t="s">
        <v>2</v>
      </c>
      <c r="F17" s="2" t="s">
        <v>2</v>
      </c>
    </row>
    <row r="18" spans="1:6" x14ac:dyDescent="0.25">
      <c r="A18" s="19"/>
      <c r="B18" s="4" t="s">
        <v>18</v>
      </c>
      <c r="C18" s="3" t="s">
        <v>3</v>
      </c>
      <c r="D18" s="2" t="s">
        <v>4</v>
      </c>
      <c r="E18" s="2" t="s">
        <v>18</v>
      </c>
      <c r="F18" s="2" t="s">
        <v>3</v>
      </c>
    </row>
    <row r="19" spans="1:6" x14ac:dyDescent="0.25">
      <c r="A19" s="5" t="s">
        <v>5</v>
      </c>
      <c r="B19" s="6"/>
      <c r="C19" s="7"/>
      <c r="D19" s="2"/>
      <c r="E19" s="8"/>
      <c r="F19" s="8"/>
    </row>
    <row r="20" spans="1:6" x14ac:dyDescent="0.25">
      <c r="A20" s="5" t="s">
        <v>6</v>
      </c>
      <c r="B20" s="6"/>
      <c r="C20" s="7"/>
      <c r="D20" s="2"/>
      <c r="E20" s="8"/>
      <c r="F20" s="8"/>
    </row>
    <row r="21" spans="1:6" x14ac:dyDescent="0.25">
      <c r="A21" s="5" t="s">
        <v>7</v>
      </c>
      <c r="B21" s="6"/>
      <c r="C21" s="7"/>
      <c r="D21" s="2"/>
      <c r="E21" s="8"/>
      <c r="F21" s="8"/>
    </row>
    <row r="22" spans="1:6" x14ac:dyDescent="0.25">
      <c r="A22" s="5" t="s">
        <v>8</v>
      </c>
      <c r="B22" s="6"/>
      <c r="C22" s="7"/>
      <c r="D22" s="2"/>
      <c r="E22" s="8"/>
      <c r="F22" s="8"/>
    </row>
    <row r="23" spans="1:6" x14ac:dyDescent="0.25">
      <c r="A23" s="5" t="s">
        <v>9</v>
      </c>
      <c r="B23" s="6"/>
      <c r="C23" s="7"/>
      <c r="D23" s="2"/>
      <c r="E23" s="8"/>
      <c r="F23" s="8"/>
    </row>
    <row r="24" spans="1:6" x14ac:dyDescent="0.25">
      <c r="A24" s="5" t="s">
        <v>10</v>
      </c>
      <c r="B24" s="6"/>
      <c r="C24" s="7"/>
      <c r="D24" s="2"/>
      <c r="E24" s="8"/>
      <c r="F24" s="8"/>
    </row>
    <row r="25" spans="1:6" x14ac:dyDescent="0.25">
      <c r="A25" s="5" t="s">
        <v>11</v>
      </c>
      <c r="B25" s="6"/>
      <c r="C25" s="7"/>
      <c r="D25" s="2"/>
      <c r="E25" s="8"/>
      <c r="F25" s="8"/>
    </row>
    <row r="26" spans="1:6" x14ac:dyDescent="0.25">
      <c r="A26" s="5" t="s">
        <v>12</v>
      </c>
      <c r="B26" s="6"/>
      <c r="C26" s="7"/>
      <c r="D26" s="2"/>
      <c r="E26" s="8"/>
      <c r="F26" s="8"/>
    </row>
    <row r="27" spans="1:6" x14ac:dyDescent="0.25">
      <c r="A27" s="5" t="s">
        <v>13</v>
      </c>
      <c r="B27" s="6"/>
      <c r="C27" s="7"/>
      <c r="D27" s="2"/>
      <c r="E27" s="8"/>
      <c r="F27" s="8"/>
    </row>
    <row r="28" spans="1:6" x14ac:dyDescent="0.25">
      <c r="A28" s="5" t="s">
        <v>14</v>
      </c>
      <c r="B28" s="6"/>
      <c r="C28" s="7"/>
      <c r="D28" s="2"/>
      <c r="E28" s="8"/>
      <c r="F28" s="8"/>
    </row>
    <row r="29" spans="1:6" x14ac:dyDescent="0.25">
      <c r="A29" s="5" t="s">
        <v>15</v>
      </c>
      <c r="B29" s="6">
        <v>17</v>
      </c>
      <c r="C29" s="7">
        <v>2</v>
      </c>
      <c r="D29" s="2">
        <f>SUM(B29:C29)</f>
        <v>19</v>
      </c>
      <c r="E29" s="8">
        <f>B29/D29</f>
        <v>0.89473684210526316</v>
      </c>
      <c r="F29" s="8">
        <f>C29/D29</f>
        <v>0.10526315789473684</v>
      </c>
    </row>
    <row r="30" spans="1:6" x14ac:dyDescent="0.25">
      <c r="A30" s="5" t="s">
        <v>16</v>
      </c>
      <c r="B30" s="6"/>
      <c r="C30" s="7"/>
      <c r="D30" s="2"/>
      <c r="E30" s="8"/>
      <c r="F30" s="8"/>
    </row>
    <row r="31" spans="1:6" x14ac:dyDescent="0.25">
      <c r="A31" s="9" t="s">
        <v>17</v>
      </c>
      <c r="B31" s="6">
        <f>SUM(B19:B30)</f>
        <v>17</v>
      </c>
      <c r="C31" s="7">
        <f>SUM(C19:C30)</f>
        <v>2</v>
      </c>
      <c r="D31" s="2">
        <f>SUM(D19:D30)</f>
        <v>19</v>
      </c>
      <c r="E31" s="8">
        <f>B31/D31</f>
        <v>0.89473684210526316</v>
      </c>
      <c r="F31" s="8">
        <f>C31/D31</f>
        <v>0.10526315789473684</v>
      </c>
    </row>
    <row r="33" spans="1:6" x14ac:dyDescent="0.25">
      <c r="A33" s="18" t="s">
        <v>0</v>
      </c>
      <c r="B33" s="1" t="s">
        <v>53</v>
      </c>
      <c r="C33" s="1" t="s">
        <v>53</v>
      </c>
      <c r="D33" s="1" t="s">
        <v>53</v>
      </c>
      <c r="E33" s="2" t="s">
        <v>2</v>
      </c>
      <c r="F33" s="2" t="s">
        <v>2</v>
      </c>
    </row>
    <row r="34" spans="1:6" x14ac:dyDescent="0.25">
      <c r="A34" s="19"/>
      <c r="B34" s="4" t="s">
        <v>18</v>
      </c>
      <c r="C34" s="3" t="s">
        <v>3</v>
      </c>
      <c r="D34" s="2" t="s">
        <v>4</v>
      </c>
      <c r="E34" s="2" t="s">
        <v>18</v>
      </c>
      <c r="F34" s="2" t="s">
        <v>3</v>
      </c>
    </row>
    <row r="35" spans="1:6" x14ac:dyDescent="0.25">
      <c r="A35" s="5" t="s">
        <v>5</v>
      </c>
      <c r="B35" s="6"/>
      <c r="C35" s="7"/>
      <c r="D35" s="2"/>
      <c r="E35" s="8"/>
      <c r="F35" s="8"/>
    </row>
    <row r="36" spans="1:6" x14ac:dyDescent="0.25">
      <c r="A36" s="5" t="s">
        <v>6</v>
      </c>
      <c r="B36" s="6"/>
      <c r="C36" s="7"/>
      <c r="D36" s="2"/>
      <c r="E36" s="8"/>
      <c r="F36" s="8"/>
    </row>
    <row r="37" spans="1:6" x14ac:dyDescent="0.25">
      <c r="A37" s="5" t="s">
        <v>7</v>
      </c>
      <c r="B37" s="6"/>
      <c r="C37" s="7"/>
      <c r="D37" s="2"/>
      <c r="E37" s="8"/>
      <c r="F37" s="8"/>
    </row>
    <row r="38" spans="1:6" x14ac:dyDescent="0.25">
      <c r="A38" s="5" t="s">
        <v>8</v>
      </c>
      <c r="B38" s="6"/>
      <c r="C38" s="7"/>
      <c r="D38" s="2"/>
      <c r="E38" s="8"/>
      <c r="F38" s="8"/>
    </row>
    <row r="39" spans="1:6" x14ac:dyDescent="0.25">
      <c r="A39" s="5" t="s">
        <v>9</v>
      </c>
      <c r="B39" s="6"/>
      <c r="C39" s="7"/>
      <c r="D39" s="2"/>
      <c r="E39" s="8"/>
      <c r="F39" s="8"/>
    </row>
    <row r="40" spans="1:6" x14ac:dyDescent="0.25">
      <c r="A40" s="5" t="s">
        <v>10</v>
      </c>
      <c r="B40" s="6"/>
      <c r="C40" s="7"/>
      <c r="D40" s="2"/>
      <c r="E40" s="8"/>
      <c r="F40" s="8"/>
    </row>
    <row r="41" spans="1:6" x14ac:dyDescent="0.25">
      <c r="A41" s="5" t="s">
        <v>11</v>
      </c>
      <c r="B41" s="6"/>
      <c r="C41" s="7"/>
      <c r="D41" s="2"/>
      <c r="E41" s="8"/>
      <c r="F41" s="8"/>
    </row>
    <row r="42" spans="1:6" x14ac:dyDescent="0.25">
      <c r="A42" s="5" t="s">
        <v>12</v>
      </c>
      <c r="B42" s="6"/>
      <c r="C42" s="7"/>
      <c r="D42" s="2"/>
      <c r="E42" s="8"/>
      <c r="F42" s="8"/>
    </row>
    <row r="43" spans="1:6" x14ac:dyDescent="0.25">
      <c r="A43" s="5" t="s">
        <v>13</v>
      </c>
      <c r="B43" s="6"/>
      <c r="C43" s="7"/>
      <c r="D43" s="2"/>
      <c r="E43" s="8"/>
      <c r="F43" s="8"/>
    </row>
    <row r="44" spans="1:6" x14ac:dyDescent="0.25">
      <c r="A44" s="5" t="s">
        <v>14</v>
      </c>
      <c r="B44" s="6"/>
      <c r="C44" s="7"/>
      <c r="D44" s="2"/>
      <c r="E44" s="8"/>
      <c r="F44" s="8"/>
    </row>
    <row r="45" spans="1:6" x14ac:dyDescent="0.25">
      <c r="A45" s="5" t="s">
        <v>15</v>
      </c>
      <c r="B45" s="6">
        <v>9</v>
      </c>
      <c r="C45" s="7"/>
      <c r="D45" s="2">
        <f>SUM(B45:C45)</f>
        <v>9</v>
      </c>
      <c r="E45" s="8">
        <f>B45/D45</f>
        <v>1</v>
      </c>
      <c r="F45" s="8">
        <f>C45/D45</f>
        <v>0</v>
      </c>
    </row>
    <row r="46" spans="1:6" x14ac:dyDescent="0.25">
      <c r="A46" s="5" t="s">
        <v>16</v>
      </c>
      <c r="B46" s="6"/>
      <c r="C46" s="7"/>
      <c r="D46" s="2"/>
      <c r="E46" s="8"/>
      <c r="F46" s="8"/>
    </row>
    <row r="47" spans="1:6" x14ac:dyDescent="0.25">
      <c r="A47" s="9" t="s">
        <v>17</v>
      </c>
      <c r="B47" s="6">
        <f>SUM(B35:B46)</f>
        <v>9</v>
      </c>
      <c r="C47" s="7">
        <f>SUM(C35:C46)</f>
        <v>0</v>
      </c>
      <c r="D47" s="2">
        <f>SUM(D35:D46)</f>
        <v>9</v>
      </c>
      <c r="E47" s="8">
        <f>B47/D47</f>
        <v>1</v>
      </c>
      <c r="F47" s="8">
        <f>C47/D47</f>
        <v>0</v>
      </c>
    </row>
    <row r="49" spans="1:6" x14ac:dyDescent="0.25">
      <c r="A49" s="18" t="s">
        <v>0</v>
      </c>
      <c r="B49" s="1" t="s">
        <v>54</v>
      </c>
      <c r="C49" s="1" t="s">
        <v>54</v>
      </c>
      <c r="D49" s="1" t="s">
        <v>54</v>
      </c>
      <c r="E49" s="2" t="s">
        <v>2</v>
      </c>
      <c r="F49" s="2" t="s">
        <v>2</v>
      </c>
    </row>
    <row r="50" spans="1:6" x14ac:dyDescent="0.25">
      <c r="A50" s="19"/>
      <c r="B50" s="4" t="s">
        <v>18</v>
      </c>
      <c r="C50" s="3" t="s">
        <v>3</v>
      </c>
      <c r="D50" s="2" t="s">
        <v>4</v>
      </c>
      <c r="E50" s="2" t="s">
        <v>18</v>
      </c>
      <c r="F50" s="2" t="s">
        <v>3</v>
      </c>
    </row>
    <row r="51" spans="1:6" x14ac:dyDescent="0.25">
      <c r="A51" s="5" t="s">
        <v>5</v>
      </c>
      <c r="B51" s="6"/>
      <c r="C51" s="7"/>
      <c r="D51" s="2"/>
      <c r="E51" s="8"/>
      <c r="F51" s="8"/>
    </row>
    <row r="52" spans="1:6" x14ac:dyDescent="0.25">
      <c r="A52" s="5" t="s">
        <v>6</v>
      </c>
      <c r="B52" s="6"/>
      <c r="C52" s="7"/>
      <c r="D52" s="2"/>
      <c r="E52" s="8"/>
      <c r="F52" s="8"/>
    </row>
    <row r="53" spans="1:6" x14ac:dyDescent="0.25">
      <c r="A53" s="5" t="s">
        <v>7</v>
      </c>
      <c r="B53" s="6"/>
      <c r="C53" s="7"/>
      <c r="D53" s="2"/>
      <c r="E53" s="8"/>
      <c r="F53" s="8"/>
    </row>
    <row r="54" spans="1:6" x14ac:dyDescent="0.25">
      <c r="A54" s="5" t="s">
        <v>8</v>
      </c>
      <c r="B54" s="6"/>
      <c r="C54" s="7"/>
      <c r="D54" s="2"/>
      <c r="E54" s="8"/>
      <c r="F54" s="8"/>
    </row>
    <row r="55" spans="1:6" x14ac:dyDescent="0.25">
      <c r="A55" s="5" t="s">
        <v>9</v>
      </c>
      <c r="B55" s="6"/>
      <c r="C55" s="7"/>
      <c r="D55" s="2"/>
      <c r="E55" s="8"/>
      <c r="F55" s="8"/>
    </row>
    <row r="56" spans="1:6" x14ac:dyDescent="0.25">
      <c r="A56" s="5" t="s">
        <v>10</v>
      </c>
      <c r="B56" s="6"/>
      <c r="C56" s="7"/>
      <c r="D56" s="2"/>
      <c r="E56" s="8"/>
      <c r="F56" s="8"/>
    </row>
    <row r="57" spans="1:6" x14ac:dyDescent="0.25">
      <c r="A57" s="5" t="s">
        <v>11</v>
      </c>
      <c r="B57" s="6"/>
      <c r="C57" s="7"/>
      <c r="D57" s="2"/>
      <c r="E57" s="8"/>
      <c r="F57" s="8"/>
    </row>
    <row r="58" spans="1:6" x14ac:dyDescent="0.25">
      <c r="A58" s="5" t="s">
        <v>12</v>
      </c>
      <c r="B58" s="6"/>
      <c r="C58" s="7"/>
      <c r="D58" s="2"/>
      <c r="E58" s="8"/>
      <c r="F58" s="8"/>
    </row>
    <row r="59" spans="1:6" x14ac:dyDescent="0.25">
      <c r="A59" s="5" t="s">
        <v>13</v>
      </c>
      <c r="B59" s="6"/>
      <c r="C59" s="7"/>
      <c r="D59" s="2"/>
      <c r="E59" s="8"/>
      <c r="F59" s="8"/>
    </row>
    <row r="60" spans="1:6" x14ac:dyDescent="0.25">
      <c r="A60" s="5" t="s">
        <v>14</v>
      </c>
      <c r="B60" s="6"/>
      <c r="C60" s="7"/>
      <c r="D60" s="2"/>
      <c r="E60" s="8"/>
      <c r="F60" s="8"/>
    </row>
    <row r="61" spans="1:6" x14ac:dyDescent="0.25">
      <c r="A61" s="5" t="s">
        <v>15</v>
      </c>
      <c r="B61" s="6">
        <v>5</v>
      </c>
      <c r="C61" s="7"/>
      <c r="D61" s="2">
        <f>SUM(B61:C61)</f>
        <v>5</v>
      </c>
      <c r="E61" s="8">
        <f>B61/D61</f>
        <v>1</v>
      </c>
      <c r="F61" s="8">
        <f>C61/D61</f>
        <v>0</v>
      </c>
    </row>
    <row r="62" spans="1:6" x14ac:dyDescent="0.25">
      <c r="A62" s="5" t="s">
        <v>16</v>
      </c>
      <c r="B62" s="6"/>
      <c r="C62" s="7"/>
      <c r="D62" s="2"/>
      <c r="E62" s="8"/>
      <c r="F62" s="8"/>
    </row>
    <row r="63" spans="1:6" x14ac:dyDescent="0.25">
      <c r="A63" s="9" t="s">
        <v>17</v>
      </c>
      <c r="B63" s="6">
        <f>SUM(B51:B62)</f>
        <v>5</v>
      </c>
      <c r="C63" s="7">
        <f>SUM(C51:C62)</f>
        <v>0</v>
      </c>
      <c r="D63" s="2">
        <f>SUM(D51:D62)</f>
        <v>5</v>
      </c>
      <c r="E63" s="8">
        <f>B63/D63</f>
        <v>1</v>
      </c>
      <c r="F63" s="8">
        <f>C63/D63</f>
        <v>0</v>
      </c>
    </row>
    <row r="65" spans="1:6" x14ac:dyDescent="0.25">
      <c r="A65" s="18" t="s">
        <v>0</v>
      </c>
      <c r="B65" s="1" t="s">
        <v>52</v>
      </c>
      <c r="C65" s="1" t="s">
        <v>52</v>
      </c>
      <c r="D65" s="1" t="s">
        <v>52</v>
      </c>
      <c r="E65" s="2" t="s">
        <v>2</v>
      </c>
      <c r="F65" s="2" t="s">
        <v>2</v>
      </c>
    </row>
    <row r="66" spans="1:6" x14ac:dyDescent="0.25">
      <c r="A66" s="19"/>
      <c r="B66" s="4" t="s">
        <v>18</v>
      </c>
      <c r="C66" s="3" t="s">
        <v>3</v>
      </c>
      <c r="D66" s="2" t="s">
        <v>4</v>
      </c>
      <c r="E66" s="2" t="s">
        <v>18</v>
      </c>
      <c r="F66" s="2" t="s">
        <v>3</v>
      </c>
    </row>
    <row r="67" spans="1:6" x14ac:dyDescent="0.25">
      <c r="A67" s="5" t="s">
        <v>5</v>
      </c>
      <c r="B67" s="6"/>
      <c r="C67" s="7"/>
      <c r="D67" s="2"/>
      <c r="E67" s="8"/>
      <c r="F67" s="8"/>
    </row>
    <row r="68" spans="1:6" x14ac:dyDescent="0.25">
      <c r="A68" s="5" t="s">
        <v>6</v>
      </c>
      <c r="B68" s="6"/>
      <c r="C68" s="7"/>
      <c r="D68" s="2"/>
      <c r="E68" s="8"/>
      <c r="F68" s="8"/>
    </row>
    <row r="69" spans="1:6" x14ac:dyDescent="0.25">
      <c r="A69" s="5" t="s">
        <v>7</v>
      </c>
      <c r="B69" s="6"/>
      <c r="C69" s="7"/>
      <c r="D69" s="2"/>
      <c r="E69" s="8"/>
      <c r="F69" s="8"/>
    </row>
    <row r="70" spans="1:6" x14ac:dyDescent="0.25">
      <c r="A70" s="5" t="s">
        <v>8</v>
      </c>
      <c r="B70" s="6"/>
      <c r="C70" s="7"/>
      <c r="D70" s="2"/>
      <c r="E70" s="8"/>
      <c r="F70" s="8"/>
    </row>
    <row r="71" spans="1:6" x14ac:dyDescent="0.25">
      <c r="A71" s="5" t="s">
        <v>9</v>
      </c>
      <c r="B71" s="6"/>
      <c r="C71" s="7"/>
      <c r="D71" s="2"/>
      <c r="E71" s="8"/>
      <c r="F71" s="8"/>
    </row>
    <row r="72" spans="1:6" x14ac:dyDescent="0.25">
      <c r="A72" s="5" t="s">
        <v>10</v>
      </c>
      <c r="B72" s="6"/>
      <c r="C72" s="7"/>
      <c r="D72" s="2"/>
      <c r="E72" s="8"/>
      <c r="F72" s="8"/>
    </row>
    <row r="73" spans="1:6" x14ac:dyDescent="0.25">
      <c r="A73" s="5" t="s">
        <v>11</v>
      </c>
      <c r="B73" s="6"/>
      <c r="C73" s="7"/>
      <c r="D73" s="2"/>
      <c r="E73" s="8"/>
      <c r="F73" s="8"/>
    </row>
    <row r="74" spans="1:6" x14ac:dyDescent="0.25">
      <c r="A74" s="5" t="s">
        <v>12</v>
      </c>
      <c r="B74" s="6"/>
      <c r="C74" s="7"/>
      <c r="D74" s="2"/>
      <c r="E74" s="8"/>
      <c r="F74" s="8"/>
    </row>
    <row r="75" spans="1:6" x14ac:dyDescent="0.25">
      <c r="A75" s="5" t="s">
        <v>13</v>
      </c>
      <c r="B75" s="6"/>
      <c r="C75" s="7"/>
      <c r="D75" s="2"/>
      <c r="E75" s="8"/>
      <c r="F75" s="8"/>
    </row>
    <row r="76" spans="1:6" x14ac:dyDescent="0.25">
      <c r="A76" s="5" t="s">
        <v>14</v>
      </c>
      <c r="B76" s="6"/>
      <c r="C76" s="7"/>
      <c r="D76" s="2"/>
      <c r="E76" s="8"/>
      <c r="F76" s="8"/>
    </row>
    <row r="77" spans="1:6" x14ac:dyDescent="0.25">
      <c r="A77" s="5" t="s">
        <v>15</v>
      </c>
      <c r="B77" s="6">
        <v>17</v>
      </c>
      <c r="C77" s="7">
        <v>2</v>
      </c>
      <c r="D77" s="2">
        <f>SUM(B77:C77)</f>
        <v>19</v>
      </c>
      <c r="E77" s="8">
        <f>B77/D77</f>
        <v>0.89473684210526316</v>
      </c>
      <c r="F77" s="8">
        <f>C77/D77</f>
        <v>0.10526315789473684</v>
      </c>
    </row>
    <row r="78" spans="1:6" x14ac:dyDescent="0.25">
      <c r="A78" s="5" t="s">
        <v>16</v>
      </c>
      <c r="B78" s="6"/>
      <c r="C78" s="7"/>
      <c r="D78" s="2"/>
      <c r="E78" s="8"/>
      <c r="F78" s="8"/>
    </row>
    <row r="79" spans="1:6" x14ac:dyDescent="0.25">
      <c r="A79" s="9" t="s">
        <v>17</v>
      </c>
      <c r="B79" s="6">
        <f>SUM(B67:B78)</f>
        <v>17</v>
      </c>
      <c r="C79" s="7">
        <f>SUM(C67:C78)</f>
        <v>2</v>
      </c>
      <c r="D79" s="2">
        <f>SUM(D67:D78)</f>
        <v>19</v>
      </c>
      <c r="E79" s="8">
        <f>B79/D79</f>
        <v>0.89473684210526316</v>
      </c>
      <c r="F79" s="8">
        <f>C79/D79</f>
        <v>0.10526315789473684</v>
      </c>
    </row>
    <row r="81" spans="1:6" x14ac:dyDescent="0.25">
      <c r="A81" s="18" t="s">
        <v>0</v>
      </c>
      <c r="B81" s="1" t="s">
        <v>1</v>
      </c>
      <c r="C81" s="1" t="s">
        <v>1</v>
      </c>
      <c r="D81" s="1" t="s">
        <v>1</v>
      </c>
      <c r="E81" s="2" t="s">
        <v>2</v>
      </c>
      <c r="F81" s="2" t="s">
        <v>2</v>
      </c>
    </row>
    <row r="82" spans="1:6" x14ac:dyDescent="0.25">
      <c r="A82" s="19"/>
      <c r="B82" s="4" t="s">
        <v>18</v>
      </c>
      <c r="C82" s="3" t="s">
        <v>3</v>
      </c>
      <c r="D82" s="2" t="s">
        <v>4</v>
      </c>
      <c r="E82" s="2" t="s">
        <v>18</v>
      </c>
      <c r="F82" s="2" t="s">
        <v>3</v>
      </c>
    </row>
    <row r="83" spans="1:6" x14ac:dyDescent="0.25">
      <c r="A83" s="5" t="s">
        <v>5</v>
      </c>
      <c r="B83" s="6"/>
      <c r="C83" s="7"/>
      <c r="D83" s="2"/>
      <c r="E83" s="8"/>
      <c r="F83" s="8"/>
    </row>
    <row r="84" spans="1:6" x14ac:dyDescent="0.25">
      <c r="A84" s="5" t="s">
        <v>6</v>
      </c>
      <c r="B84" s="6"/>
      <c r="C84" s="7"/>
      <c r="D84" s="2"/>
      <c r="E84" s="8"/>
      <c r="F84" s="8"/>
    </row>
    <row r="85" spans="1:6" x14ac:dyDescent="0.25">
      <c r="A85" s="5" t="s">
        <v>7</v>
      </c>
      <c r="B85" s="6"/>
      <c r="C85" s="7"/>
      <c r="D85" s="2"/>
      <c r="E85" s="8"/>
      <c r="F85" s="8"/>
    </row>
    <row r="86" spans="1:6" x14ac:dyDescent="0.25">
      <c r="A86" s="5" t="s">
        <v>8</v>
      </c>
      <c r="B86" s="6"/>
      <c r="C86" s="7"/>
      <c r="D86" s="2"/>
      <c r="E86" s="8"/>
      <c r="F86" s="8"/>
    </row>
    <row r="87" spans="1:6" x14ac:dyDescent="0.25">
      <c r="A87" s="5" t="s">
        <v>9</v>
      </c>
      <c r="B87" s="6"/>
      <c r="C87" s="7"/>
      <c r="D87" s="2"/>
      <c r="E87" s="8"/>
      <c r="F87" s="8"/>
    </row>
    <row r="88" spans="1:6" x14ac:dyDescent="0.25">
      <c r="A88" s="5" t="s">
        <v>10</v>
      </c>
      <c r="B88" s="6"/>
      <c r="C88" s="7"/>
      <c r="D88" s="2"/>
      <c r="E88" s="8"/>
      <c r="F88" s="8"/>
    </row>
    <row r="89" spans="1:6" x14ac:dyDescent="0.25">
      <c r="A89" s="5" t="s">
        <v>11</v>
      </c>
      <c r="B89" s="6"/>
      <c r="C89" s="7"/>
      <c r="D89" s="2"/>
      <c r="E89" s="8"/>
      <c r="F89" s="8"/>
    </row>
    <row r="90" spans="1:6" x14ac:dyDescent="0.25">
      <c r="A90" s="5" t="s">
        <v>12</v>
      </c>
      <c r="B90" s="6"/>
      <c r="C90" s="7"/>
      <c r="D90" s="2"/>
      <c r="E90" s="8"/>
      <c r="F90" s="8"/>
    </row>
    <row r="91" spans="1:6" x14ac:dyDescent="0.25">
      <c r="A91" s="5" t="s">
        <v>13</v>
      </c>
      <c r="B91" s="6"/>
      <c r="C91" s="7"/>
      <c r="D91" s="2"/>
      <c r="E91" s="8"/>
      <c r="F91" s="8"/>
    </row>
    <row r="92" spans="1:6" x14ac:dyDescent="0.25">
      <c r="A92" s="5" t="s">
        <v>14</v>
      </c>
      <c r="B92" s="6"/>
      <c r="C92" s="7"/>
      <c r="D92" s="2"/>
      <c r="E92" s="8"/>
      <c r="F92" s="8"/>
    </row>
    <row r="93" spans="1:6" x14ac:dyDescent="0.25">
      <c r="A93" s="5" t="s">
        <v>15</v>
      </c>
      <c r="B93" s="6">
        <v>34</v>
      </c>
      <c r="C93" s="7">
        <v>1</v>
      </c>
      <c r="D93" s="2">
        <f>SUM(B93:C93)</f>
        <v>35</v>
      </c>
      <c r="E93" s="8">
        <f>B93/D93</f>
        <v>0.97142857142857142</v>
      </c>
      <c r="F93" s="8">
        <f>C93/D93</f>
        <v>2.8571428571428571E-2</v>
      </c>
    </row>
    <row r="94" spans="1:6" x14ac:dyDescent="0.25">
      <c r="A94" s="5" t="s">
        <v>16</v>
      </c>
      <c r="B94" s="6"/>
      <c r="C94" s="7"/>
      <c r="D94" s="2"/>
      <c r="E94" s="8"/>
      <c r="F94" s="8"/>
    </row>
    <row r="95" spans="1:6" x14ac:dyDescent="0.25">
      <c r="A95" s="9" t="s">
        <v>17</v>
      </c>
      <c r="B95" s="6">
        <f>SUM(B83:B94)</f>
        <v>34</v>
      </c>
      <c r="C95" s="7">
        <f>SUM(C83:C94)</f>
        <v>1</v>
      </c>
      <c r="D95" s="2">
        <f>SUM(D83:D94)</f>
        <v>35</v>
      </c>
      <c r="E95" s="8">
        <f>B95/D95</f>
        <v>0.97142857142857142</v>
      </c>
      <c r="F95" s="8">
        <f>C95/D95</f>
        <v>2.8571428571428571E-2</v>
      </c>
    </row>
    <row r="97" spans="1:6" x14ac:dyDescent="0.25">
      <c r="A97" s="18" t="s">
        <v>0</v>
      </c>
      <c r="B97" s="1" t="s">
        <v>55</v>
      </c>
      <c r="C97" s="1" t="s">
        <v>55</v>
      </c>
      <c r="D97" s="1" t="s">
        <v>55</v>
      </c>
      <c r="E97" s="2" t="s">
        <v>2</v>
      </c>
      <c r="F97" s="2" t="s">
        <v>2</v>
      </c>
    </row>
    <row r="98" spans="1:6" x14ac:dyDescent="0.25">
      <c r="A98" s="19"/>
      <c r="B98" s="4" t="s">
        <v>18</v>
      </c>
      <c r="C98" s="3" t="s">
        <v>3</v>
      </c>
      <c r="D98" s="2" t="s">
        <v>4</v>
      </c>
      <c r="E98" s="2" t="s">
        <v>18</v>
      </c>
      <c r="F98" s="2" t="s">
        <v>3</v>
      </c>
    </row>
    <row r="99" spans="1:6" x14ac:dyDescent="0.25">
      <c r="A99" s="5" t="s">
        <v>5</v>
      </c>
      <c r="B99" s="6"/>
      <c r="C99" s="7"/>
      <c r="D99" s="2"/>
      <c r="E99" s="8"/>
      <c r="F99" s="8"/>
    </row>
    <row r="100" spans="1:6" x14ac:dyDescent="0.25">
      <c r="A100" s="5" t="s">
        <v>6</v>
      </c>
      <c r="B100" s="6"/>
      <c r="C100" s="7"/>
      <c r="D100" s="2"/>
      <c r="E100" s="8"/>
      <c r="F100" s="8"/>
    </row>
    <row r="101" spans="1:6" x14ac:dyDescent="0.25">
      <c r="A101" s="5" t="s">
        <v>7</v>
      </c>
      <c r="B101" s="6"/>
      <c r="C101" s="7"/>
      <c r="D101" s="2"/>
      <c r="E101" s="8"/>
      <c r="F101" s="8"/>
    </row>
    <row r="102" spans="1:6" x14ac:dyDescent="0.25">
      <c r="A102" s="5" t="s">
        <v>8</v>
      </c>
      <c r="B102" s="6"/>
      <c r="C102" s="7"/>
      <c r="D102" s="2"/>
      <c r="E102" s="8"/>
      <c r="F102" s="8"/>
    </row>
    <row r="103" spans="1:6" x14ac:dyDescent="0.25">
      <c r="A103" s="5" t="s">
        <v>9</v>
      </c>
      <c r="B103" s="6"/>
      <c r="C103" s="7"/>
      <c r="D103" s="2"/>
      <c r="E103" s="8"/>
      <c r="F103" s="8"/>
    </row>
    <row r="104" spans="1:6" x14ac:dyDescent="0.25">
      <c r="A104" s="5" t="s">
        <v>10</v>
      </c>
      <c r="B104" s="6"/>
      <c r="C104" s="7"/>
      <c r="D104" s="2"/>
      <c r="E104" s="8"/>
      <c r="F104" s="8"/>
    </row>
    <row r="105" spans="1:6" x14ac:dyDescent="0.25">
      <c r="A105" s="5" t="s">
        <v>11</v>
      </c>
      <c r="B105" s="6"/>
      <c r="C105" s="7"/>
      <c r="D105" s="2"/>
      <c r="E105" s="8"/>
      <c r="F105" s="8"/>
    </row>
    <row r="106" spans="1:6" x14ac:dyDescent="0.25">
      <c r="A106" s="5" t="s">
        <v>12</v>
      </c>
      <c r="B106" s="6"/>
      <c r="C106" s="7"/>
      <c r="D106" s="2"/>
      <c r="E106" s="8"/>
      <c r="F106" s="8"/>
    </row>
    <row r="107" spans="1:6" x14ac:dyDescent="0.25">
      <c r="A107" s="5" t="s">
        <v>13</v>
      </c>
      <c r="B107" s="6"/>
      <c r="C107" s="7"/>
      <c r="D107" s="2"/>
      <c r="E107" s="8"/>
      <c r="F107" s="8"/>
    </row>
    <row r="108" spans="1:6" x14ac:dyDescent="0.25">
      <c r="A108" s="5" t="s">
        <v>14</v>
      </c>
      <c r="B108" s="6"/>
      <c r="C108" s="7"/>
      <c r="D108" s="2"/>
      <c r="E108" s="8"/>
      <c r="F108" s="8"/>
    </row>
    <row r="109" spans="1:6" x14ac:dyDescent="0.25">
      <c r="A109" s="5" t="s">
        <v>15</v>
      </c>
      <c r="B109" s="6">
        <v>7</v>
      </c>
      <c r="C109" s="7"/>
      <c r="D109" s="2">
        <f>SUM(B109:C109)</f>
        <v>7</v>
      </c>
      <c r="E109" s="8">
        <f>B109/D109</f>
        <v>1</v>
      </c>
      <c r="F109" s="8">
        <f>C109/D109</f>
        <v>0</v>
      </c>
    </row>
    <row r="110" spans="1:6" x14ac:dyDescent="0.25">
      <c r="A110" s="5" t="s">
        <v>16</v>
      </c>
      <c r="B110" s="6"/>
      <c r="C110" s="7"/>
      <c r="D110" s="2"/>
      <c r="E110" s="8"/>
      <c r="F110" s="8"/>
    </row>
    <row r="111" spans="1:6" x14ac:dyDescent="0.25">
      <c r="A111" s="9" t="s">
        <v>17</v>
      </c>
      <c r="B111" s="6">
        <f>SUM(B99:B110)</f>
        <v>7</v>
      </c>
      <c r="C111" s="7">
        <f>SUM(C99:C110)</f>
        <v>0</v>
      </c>
      <c r="D111" s="2">
        <f>SUM(D99:D110)</f>
        <v>7</v>
      </c>
      <c r="E111" s="8">
        <f>B111/D111</f>
        <v>1</v>
      </c>
      <c r="F111" s="8">
        <f>C111/D111</f>
        <v>0</v>
      </c>
    </row>
    <row r="113" spans="1:6" x14ac:dyDescent="0.25">
      <c r="A113" s="18" t="s">
        <v>0</v>
      </c>
      <c r="B113" s="1" t="s">
        <v>48</v>
      </c>
      <c r="C113" s="1" t="s">
        <v>48</v>
      </c>
      <c r="D113" s="1" t="s">
        <v>48</v>
      </c>
      <c r="E113" s="2" t="s">
        <v>2</v>
      </c>
      <c r="F113" s="2" t="s">
        <v>2</v>
      </c>
    </row>
    <row r="114" spans="1:6" x14ac:dyDescent="0.25">
      <c r="A114" s="19"/>
      <c r="B114" s="4" t="s">
        <v>18</v>
      </c>
      <c r="C114" s="3" t="s">
        <v>3</v>
      </c>
      <c r="D114" s="2" t="s">
        <v>4</v>
      </c>
      <c r="E114" s="2" t="s">
        <v>18</v>
      </c>
      <c r="F114" s="2" t="s">
        <v>3</v>
      </c>
    </row>
    <row r="115" spans="1:6" x14ac:dyDescent="0.25">
      <c r="A115" s="5" t="s">
        <v>5</v>
      </c>
      <c r="B115" s="6"/>
      <c r="C115" s="7"/>
      <c r="D115" s="2"/>
      <c r="E115" s="8"/>
      <c r="F115" s="8"/>
    </row>
    <row r="116" spans="1:6" x14ac:dyDescent="0.25">
      <c r="A116" s="5" t="s">
        <v>6</v>
      </c>
      <c r="B116" s="6"/>
      <c r="C116" s="7"/>
      <c r="D116" s="2"/>
      <c r="E116" s="8"/>
      <c r="F116" s="8"/>
    </row>
    <row r="117" spans="1:6" x14ac:dyDescent="0.25">
      <c r="A117" s="5" t="s">
        <v>7</v>
      </c>
      <c r="B117" s="6"/>
      <c r="C117" s="7"/>
      <c r="D117" s="2"/>
      <c r="E117" s="8"/>
      <c r="F117" s="8"/>
    </row>
    <row r="118" spans="1:6" x14ac:dyDescent="0.25">
      <c r="A118" s="5" t="s">
        <v>8</v>
      </c>
      <c r="B118" s="6"/>
      <c r="C118" s="7"/>
      <c r="D118" s="2"/>
      <c r="E118" s="8"/>
      <c r="F118" s="8"/>
    </row>
    <row r="119" spans="1:6" x14ac:dyDescent="0.25">
      <c r="A119" s="5" t="s">
        <v>9</v>
      </c>
      <c r="B119" s="6"/>
      <c r="C119" s="7"/>
      <c r="D119" s="2"/>
      <c r="E119" s="8"/>
      <c r="F119" s="8"/>
    </row>
    <row r="120" spans="1:6" x14ac:dyDescent="0.25">
      <c r="A120" s="5" t="s">
        <v>10</v>
      </c>
      <c r="B120" s="6"/>
      <c r="C120" s="7"/>
      <c r="D120" s="2"/>
      <c r="E120" s="8"/>
      <c r="F120" s="8"/>
    </row>
    <row r="121" spans="1:6" x14ac:dyDescent="0.25">
      <c r="A121" s="5" t="s">
        <v>11</v>
      </c>
      <c r="B121" s="6"/>
      <c r="C121" s="7"/>
      <c r="D121" s="2"/>
      <c r="E121" s="8"/>
      <c r="F121" s="8"/>
    </row>
    <row r="122" spans="1:6" x14ac:dyDescent="0.25">
      <c r="A122" s="5" t="s">
        <v>12</v>
      </c>
      <c r="B122" s="6"/>
      <c r="C122" s="7"/>
      <c r="D122" s="2"/>
      <c r="E122" s="8"/>
      <c r="F122" s="8"/>
    </row>
    <row r="123" spans="1:6" x14ac:dyDescent="0.25">
      <c r="A123" s="5" t="s">
        <v>13</v>
      </c>
      <c r="B123" s="6"/>
      <c r="C123" s="7"/>
      <c r="D123" s="2"/>
      <c r="E123" s="8"/>
      <c r="F123" s="8"/>
    </row>
    <row r="124" spans="1:6" x14ac:dyDescent="0.25">
      <c r="A124" s="5" t="s">
        <v>14</v>
      </c>
      <c r="B124" s="6"/>
      <c r="C124" s="7"/>
      <c r="D124" s="2"/>
      <c r="E124" s="8"/>
      <c r="F124" s="8"/>
    </row>
    <row r="125" spans="1:6" x14ac:dyDescent="0.25">
      <c r="A125" s="5" t="s">
        <v>15</v>
      </c>
      <c r="B125" s="6">
        <v>28</v>
      </c>
      <c r="C125" s="7">
        <v>3</v>
      </c>
      <c r="D125" s="2">
        <f>SUM(B125:C125)</f>
        <v>31</v>
      </c>
      <c r="E125" s="8">
        <f>B125/D125</f>
        <v>0.90322580645161288</v>
      </c>
      <c r="F125" s="8">
        <f>C125/D125</f>
        <v>9.6774193548387094E-2</v>
      </c>
    </row>
    <row r="126" spans="1:6" x14ac:dyDescent="0.25">
      <c r="A126" s="5" t="s">
        <v>16</v>
      </c>
      <c r="B126" s="6"/>
      <c r="C126" s="7"/>
      <c r="D126" s="2"/>
      <c r="E126" s="8"/>
      <c r="F126" s="8"/>
    </row>
    <row r="127" spans="1:6" x14ac:dyDescent="0.25">
      <c r="A127" s="9" t="s">
        <v>17</v>
      </c>
      <c r="B127" s="6">
        <f>SUM(B115:B126)</f>
        <v>28</v>
      </c>
      <c r="C127" s="7">
        <f>SUM(C115:C126)</f>
        <v>3</v>
      </c>
      <c r="D127" s="2">
        <f>SUM(D115:D126)</f>
        <v>31</v>
      </c>
      <c r="E127" s="8">
        <f>B127/D127</f>
        <v>0.90322580645161288</v>
      </c>
      <c r="F127" s="8">
        <f>C127/D127</f>
        <v>9.6774193548387094E-2</v>
      </c>
    </row>
    <row r="129" spans="1:6" x14ac:dyDescent="0.25">
      <c r="A129" s="18" t="s">
        <v>0</v>
      </c>
      <c r="B129" s="1" t="s">
        <v>56</v>
      </c>
      <c r="C129" s="1" t="s">
        <v>56</v>
      </c>
      <c r="D129" s="1" t="s">
        <v>56</v>
      </c>
      <c r="E129" s="2" t="s">
        <v>2</v>
      </c>
      <c r="F129" s="2" t="s">
        <v>2</v>
      </c>
    </row>
    <row r="130" spans="1:6" x14ac:dyDescent="0.25">
      <c r="A130" s="19"/>
      <c r="B130" s="4" t="s">
        <v>18</v>
      </c>
      <c r="C130" s="3" t="s">
        <v>3</v>
      </c>
      <c r="D130" s="2" t="s">
        <v>4</v>
      </c>
      <c r="E130" s="2" t="s">
        <v>18</v>
      </c>
      <c r="F130" s="2" t="s">
        <v>3</v>
      </c>
    </row>
    <row r="131" spans="1:6" x14ac:dyDescent="0.25">
      <c r="A131" s="5" t="s">
        <v>5</v>
      </c>
      <c r="B131" s="6"/>
      <c r="C131" s="7"/>
      <c r="D131" s="2"/>
      <c r="E131" s="8"/>
      <c r="F131" s="8"/>
    </row>
    <row r="132" spans="1:6" x14ac:dyDescent="0.25">
      <c r="A132" s="5" t="s">
        <v>6</v>
      </c>
      <c r="B132" s="6"/>
      <c r="C132" s="7"/>
      <c r="D132" s="2"/>
      <c r="E132" s="8"/>
      <c r="F132" s="8"/>
    </row>
    <row r="133" spans="1:6" x14ac:dyDescent="0.25">
      <c r="A133" s="5" t="s">
        <v>7</v>
      </c>
      <c r="B133" s="6"/>
      <c r="C133" s="7"/>
      <c r="D133" s="2"/>
      <c r="E133" s="8"/>
      <c r="F133" s="8"/>
    </row>
    <row r="134" spans="1:6" x14ac:dyDescent="0.25">
      <c r="A134" s="5" t="s">
        <v>8</v>
      </c>
      <c r="B134" s="6"/>
      <c r="C134" s="7"/>
      <c r="D134" s="2"/>
      <c r="E134" s="8"/>
      <c r="F134" s="8"/>
    </row>
    <row r="135" spans="1:6" x14ac:dyDescent="0.25">
      <c r="A135" s="5" t="s">
        <v>9</v>
      </c>
      <c r="B135" s="6"/>
      <c r="C135" s="7"/>
      <c r="D135" s="2"/>
      <c r="E135" s="8"/>
      <c r="F135" s="8"/>
    </row>
    <row r="136" spans="1:6" x14ac:dyDescent="0.25">
      <c r="A136" s="5" t="s">
        <v>10</v>
      </c>
      <c r="B136" s="6"/>
      <c r="C136" s="7"/>
      <c r="D136" s="2"/>
      <c r="E136" s="8"/>
      <c r="F136" s="8"/>
    </row>
    <row r="137" spans="1:6" x14ac:dyDescent="0.25">
      <c r="A137" s="5" t="s">
        <v>11</v>
      </c>
      <c r="B137" s="6"/>
      <c r="C137" s="7"/>
      <c r="D137" s="2"/>
      <c r="E137" s="8"/>
      <c r="F137" s="8"/>
    </row>
    <row r="138" spans="1:6" x14ac:dyDescent="0.25">
      <c r="A138" s="5" t="s">
        <v>12</v>
      </c>
      <c r="B138" s="6"/>
      <c r="C138" s="7"/>
      <c r="D138" s="2"/>
      <c r="E138" s="8"/>
      <c r="F138" s="8"/>
    </row>
    <row r="139" spans="1:6" x14ac:dyDescent="0.25">
      <c r="A139" s="5" t="s">
        <v>13</v>
      </c>
      <c r="B139" s="6"/>
      <c r="C139" s="7"/>
      <c r="D139" s="2"/>
      <c r="E139" s="8"/>
      <c r="F139" s="8"/>
    </row>
    <row r="140" spans="1:6" x14ac:dyDescent="0.25">
      <c r="A140" s="5" t="s">
        <v>14</v>
      </c>
      <c r="B140" s="6"/>
      <c r="C140" s="7"/>
      <c r="D140" s="2"/>
      <c r="E140" s="8"/>
      <c r="F140" s="8"/>
    </row>
    <row r="141" spans="1:6" x14ac:dyDescent="0.25">
      <c r="A141" s="5" t="s">
        <v>15</v>
      </c>
      <c r="B141" s="6">
        <v>7</v>
      </c>
      <c r="C141" s="7"/>
      <c r="D141" s="2">
        <f>SUM(B141:C141)</f>
        <v>7</v>
      </c>
      <c r="E141" s="8">
        <f>B141/D141</f>
        <v>1</v>
      </c>
      <c r="F141" s="8">
        <f>C141/D141</f>
        <v>0</v>
      </c>
    </row>
    <row r="142" spans="1:6" x14ac:dyDescent="0.25">
      <c r="A142" s="5" t="s">
        <v>16</v>
      </c>
      <c r="B142" s="6"/>
      <c r="C142" s="7"/>
      <c r="D142" s="2"/>
      <c r="E142" s="8"/>
      <c r="F142" s="8"/>
    </row>
    <row r="143" spans="1:6" x14ac:dyDescent="0.25">
      <c r="A143" s="9" t="s">
        <v>17</v>
      </c>
      <c r="B143" s="6">
        <f>SUM(B131:B142)</f>
        <v>7</v>
      </c>
      <c r="C143" s="7">
        <f>SUM(C131:C142)</f>
        <v>0</v>
      </c>
      <c r="D143" s="2">
        <f>SUM(D131:D142)</f>
        <v>7</v>
      </c>
      <c r="E143" s="8">
        <f>B143/D143</f>
        <v>1</v>
      </c>
      <c r="F143" s="8">
        <f>C143/D143</f>
        <v>0</v>
      </c>
    </row>
    <row r="145" spans="1:6" x14ac:dyDescent="0.25">
      <c r="A145" s="18" t="s">
        <v>0</v>
      </c>
      <c r="B145" s="1" t="s">
        <v>51</v>
      </c>
      <c r="C145" s="1" t="s">
        <v>51</v>
      </c>
      <c r="D145" s="1" t="s">
        <v>51</v>
      </c>
      <c r="E145" s="2" t="s">
        <v>2</v>
      </c>
      <c r="F145" s="2" t="s">
        <v>2</v>
      </c>
    </row>
    <row r="146" spans="1:6" x14ac:dyDescent="0.25">
      <c r="A146" s="19"/>
      <c r="B146" s="4" t="s">
        <v>18</v>
      </c>
      <c r="C146" s="3" t="s">
        <v>3</v>
      </c>
      <c r="D146" s="2" t="s">
        <v>4</v>
      </c>
      <c r="E146" s="2" t="s">
        <v>18</v>
      </c>
      <c r="F146" s="2" t="s">
        <v>3</v>
      </c>
    </row>
    <row r="147" spans="1:6" x14ac:dyDescent="0.25">
      <c r="A147" s="5" t="s">
        <v>5</v>
      </c>
      <c r="B147" s="6"/>
      <c r="C147" s="7"/>
      <c r="D147" s="2"/>
      <c r="E147" s="8"/>
      <c r="F147" s="8"/>
    </row>
    <row r="148" spans="1:6" x14ac:dyDescent="0.25">
      <c r="A148" s="5" t="s">
        <v>6</v>
      </c>
      <c r="B148" s="6"/>
      <c r="C148" s="7"/>
      <c r="D148" s="2"/>
      <c r="E148" s="8"/>
      <c r="F148" s="8"/>
    </row>
    <row r="149" spans="1:6" x14ac:dyDescent="0.25">
      <c r="A149" s="5" t="s">
        <v>7</v>
      </c>
      <c r="B149" s="6"/>
      <c r="C149" s="7"/>
      <c r="D149" s="2"/>
      <c r="E149" s="8"/>
      <c r="F149" s="8"/>
    </row>
    <row r="150" spans="1:6" x14ac:dyDescent="0.25">
      <c r="A150" s="5" t="s">
        <v>8</v>
      </c>
      <c r="B150" s="6"/>
      <c r="C150" s="7"/>
      <c r="D150" s="2"/>
      <c r="E150" s="8"/>
      <c r="F150" s="8"/>
    </row>
    <row r="151" spans="1:6" x14ac:dyDescent="0.25">
      <c r="A151" s="5" t="s">
        <v>9</v>
      </c>
      <c r="B151" s="6"/>
      <c r="C151" s="7"/>
      <c r="D151" s="2"/>
      <c r="E151" s="8"/>
      <c r="F151" s="8"/>
    </row>
    <row r="152" spans="1:6" x14ac:dyDescent="0.25">
      <c r="A152" s="5" t="s">
        <v>10</v>
      </c>
      <c r="B152" s="6"/>
      <c r="C152" s="7"/>
      <c r="D152" s="2"/>
      <c r="E152" s="8"/>
      <c r="F152" s="8"/>
    </row>
    <row r="153" spans="1:6" x14ac:dyDescent="0.25">
      <c r="A153" s="5" t="s">
        <v>11</v>
      </c>
      <c r="B153" s="6"/>
      <c r="C153" s="7"/>
      <c r="D153" s="2"/>
      <c r="E153" s="8"/>
      <c r="F153" s="8"/>
    </row>
    <row r="154" spans="1:6" x14ac:dyDescent="0.25">
      <c r="A154" s="5" t="s">
        <v>12</v>
      </c>
      <c r="B154" s="6"/>
      <c r="C154" s="7"/>
      <c r="D154" s="2"/>
      <c r="E154" s="8"/>
      <c r="F154" s="8"/>
    </row>
    <row r="155" spans="1:6" x14ac:dyDescent="0.25">
      <c r="A155" s="5" t="s">
        <v>13</v>
      </c>
      <c r="B155" s="6"/>
      <c r="C155" s="7"/>
      <c r="D155" s="2"/>
      <c r="E155" s="8"/>
      <c r="F155" s="8"/>
    </row>
    <row r="156" spans="1:6" x14ac:dyDescent="0.25">
      <c r="A156" s="5" t="s">
        <v>14</v>
      </c>
      <c r="B156" s="6"/>
      <c r="C156" s="7"/>
      <c r="D156" s="2"/>
      <c r="E156" s="8"/>
      <c r="F156" s="8"/>
    </row>
    <row r="157" spans="1:6" x14ac:dyDescent="0.25">
      <c r="A157" s="5" t="s">
        <v>15</v>
      </c>
      <c r="B157" s="6">
        <v>16</v>
      </c>
      <c r="C157" s="7">
        <v>7</v>
      </c>
      <c r="D157" s="2">
        <f>SUM(B157:C157)</f>
        <v>23</v>
      </c>
      <c r="E157" s="8">
        <f>B157/D157</f>
        <v>0.69565217391304346</v>
      </c>
      <c r="F157" s="8">
        <f>C157/D157</f>
        <v>0.30434782608695654</v>
      </c>
    </row>
    <row r="158" spans="1:6" x14ac:dyDescent="0.25">
      <c r="A158" s="5" t="s">
        <v>16</v>
      </c>
      <c r="B158" s="6"/>
      <c r="C158" s="7"/>
      <c r="D158" s="2"/>
      <c r="E158" s="8"/>
      <c r="F158" s="8"/>
    </row>
    <row r="159" spans="1:6" x14ac:dyDescent="0.25">
      <c r="A159" s="9" t="s">
        <v>17</v>
      </c>
      <c r="B159" s="6">
        <f>SUM(B147:B158)</f>
        <v>16</v>
      </c>
      <c r="C159" s="7">
        <f>SUM(C147:C158)</f>
        <v>7</v>
      </c>
      <c r="D159" s="2">
        <f>SUM(D147:D158)</f>
        <v>23</v>
      </c>
      <c r="E159" s="8">
        <f>B159/D159</f>
        <v>0.69565217391304346</v>
      </c>
      <c r="F159" s="8">
        <f>C159/D159</f>
        <v>0.30434782608695654</v>
      </c>
    </row>
    <row r="161" spans="1:6" x14ac:dyDescent="0.25">
      <c r="A161" s="18" t="s">
        <v>0</v>
      </c>
      <c r="B161" s="1" t="s">
        <v>41</v>
      </c>
      <c r="C161" s="1" t="s">
        <v>41</v>
      </c>
      <c r="D161" s="1" t="s">
        <v>41</v>
      </c>
      <c r="E161" s="2" t="s">
        <v>2</v>
      </c>
      <c r="F161" s="2" t="s">
        <v>2</v>
      </c>
    </row>
    <row r="162" spans="1:6" x14ac:dyDescent="0.25">
      <c r="A162" s="19"/>
      <c r="B162" s="4" t="s">
        <v>18</v>
      </c>
      <c r="C162" s="3" t="s">
        <v>3</v>
      </c>
      <c r="D162" s="2" t="s">
        <v>4</v>
      </c>
      <c r="E162" s="2" t="s">
        <v>18</v>
      </c>
      <c r="F162" s="2" t="s">
        <v>3</v>
      </c>
    </row>
    <row r="163" spans="1:6" x14ac:dyDescent="0.25">
      <c r="A163" s="5" t="s">
        <v>5</v>
      </c>
      <c r="B163" s="6"/>
      <c r="C163" s="7"/>
      <c r="D163" s="2"/>
      <c r="E163" s="8"/>
      <c r="F163" s="8"/>
    </row>
    <row r="164" spans="1:6" x14ac:dyDescent="0.25">
      <c r="A164" s="5" t="s">
        <v>6</v>
      </c>
      <c r="B164" s="6"/>
      <c r="C164" s="7"/>
      <c r="D164" s="2"/>
      <c r="E164" s="8"/>
      <c r="F164" s="8"/>
    </row>
    <row r="165" spans="1:6" x14ac:dyDescent="0.25">
      <c r="A165" s="5" t="s">
        <v>7</v>
      </c>
      <c r="B165" s="6"/>
      <c r="C165" s="7"/>
      <c r="D165" s="2"/>
      <c r="E165" s="8"/>
      <c r="F165" s="8"/>
    </row>
    <row r="166" spans="1:6" x14ac:dyDescent="0.25">
      <c r="A166" s="5" t="s">
        <v>8</v>
      </c>
      <c r="B166" s="6"/>
      <c r="C166" s="7"/>
      <c r="D166" s="2"/>
      <c r="E166" s="8"/>
      <c r="F166" s="8"/>
    </row>
    <row r="167" spans="1:6" x14ac:dyDescent="0.25">
      <c r="A167" s="5" t="s">
        <v>9</v>
      </c>
      <c r="B167" s="6"/>
      <c r="C167" s="7"/>
      <c r="D167" s="2"/>
      <c r="E167" s="8"/>
      <c r="F167" s="8"/>
    </row>
    <row r="168" spans="1:6" x14ac:dyDescent="0.25">
      <c r="A168" s="5" t="s">
        <v>10</v>
      </c>
      <c r="B168" s="6"/>
      <c r="C168" s="7"/>
      <c r="D168" s="2"/>
      <c r="E168" s="8"/>
      <c r="F168" s="8"/>
    </row>
    <row r="169" spans="1:6" x14ac:dyDescent="0.25">
      <c r="A169" s="5" t="s">
        <v>11</v>
      </c>
      <c r="B169" s="6"/>
      <c r="C169" s="7"/>
      <c r="D169" s="2"/>
      <c r="E169" s="8"/>
      <c r="F169" s="8"/>
    </row>
    <row r="170" spans="1:6" x14ac:dyDescent="0.25">
      <c r="A170" s="5" t="s">
        <v>12</v>
      </c>
      <c r="B170" s="6"/>
      <c r="C170" s="7"/>
      <c r="D170" s="2"/>
      <c r="E170" s="8"/>
      <c r="F170" s="8"/>
    </row>
    <row r="171" spans="1:6" x14ac:dyDescent="0.25">
      <c r="A171" s="5" t="s">
        <v>13</v>
      </c>
      <c r="B171" s="6"/>
      <c r="C171" s="7"/>
      <c r="D171" s="2"/>
      <c r="E171" s="8"/>
      <c r="F171" s="8"/>
    </row>
    <row r="172" spans="1:6" x14ac:dyDescent="0.25">
      <c r="A172" s="5" t="s">
        <v>14</v>
      </c>
      <c r="B172" s="6"/>
      <c r="C172" s="7"/>
      <c r="D172" s="2"/>
      <c r="E172" s="8"/>
      <c r="F172" s="8"/>
    </row>
    <row r="173" spans="1:6" x14ac:dyDescent="0.25">
      <c r="A173" s="5" t="s">
        <v>15</v>
      </c>
      <c r="B173" s="6">
        <v>18</v>
      </c>
      <c r="C173" s="7">
        <v>4</v>
      </c>
      <c r="D173" s="2">
        <f>SUM(B173:C173)</f>
        <v>22</v>
      </c>
      <c r="E173" s="8">
        <f>B173/D173</f>
        <v>0.81818181818181823</v>
      </c>
      <c r="F173" s="8">
        <f>C173/D173</f>
        <v>0.18181818181818182</v>
      </c>
    </row>
    <row r="174" spans="1:6" x14ac:dyDescent="0.25">
      <c r="A174" s="5" t="s">
        <v>16</v>
      </c>
      <c r="B174" s="6"/>
      <c r="C174" s="7"/>
      <c r="D174" s="2"/>
      <c r="E174" s="8"/>
      <c r="F174" s="8"/>
    </row>
    <row r="175" spans="1:6" x14ac:dyDescent="0.25">
      <c r="A175" s="9" t="s">
        <v>17</v>
      </c>
      <c r="B175" s="6">
        <f>SUM(B163:B174)</f>
        <v>18</v>
      </c>
      <c r="C175" s="7">
        <f>SUM(C163:C174)</f>
        <v>4</v>
      </c>
      <c r="D175" s="2">
        <f>SUM(D163:D174)</f>
        <v>22</v>
      </c>
      <c r="E175" s="8">
        <f>B175/D175</f>
        <v>0.81818181818181823</v>
      </c>
      <c r="F175" s="8">
        <f>C175/D175</f>
        <v>0.18181818181818182</v>
      </c>
    </row>
    <row r="177" spans="1:6" x14ac:dyDescent="0.25">
      <c r="A177" s="18" t="s">
        <v>0</v>
      </c>
      <c r="B177" s="1" t="s">
        <v>50</v>
      </c>
      <c r="C177" s="1" t="s">
        <v>50</v>
      </c>
      <c r="D177" s="1" t="s">
        <v>50</v>
      </c>
      <c r="E177" s="2" t="s">
        <v>2</v>
      </c>
      <c r="F177" s="2" t="s">
        <v>2</v>
      </c>
    </row>
    <row r="178" spans="1:6" x14ac:dyDescent="0.25">
      <c r="A178" s="19"/>
      <c r="B178" s="4" t="s">
        <v>18</v>
      </c>
      <c r="C178" s="3" t="s">
        <v>3</v>
      </c>
      <c r="D178" s="2" t="s">
        <v>4</v>
      </c>
      <c r="E178" s="2" t="s">
        <v>18</v>
      </c>
      <c r="F178" s="2" t="s">
        <v>3</v>
      </c>
    </row>
    <row r="179" spans="1:6" x14ac:dyDescent="0.25">
      <c r="A179" s="5" t="s">
        <v>5</v>
      </c>
      <c r="B179" s="6"/>
      <c r="C179" s="7"/>
      <c r="D179" s="2"/>
      <c r="E179" s="8"/>
      <c r="F179" s="8"/>
    </row>
    <row r="180" spans="1:6" x14ac:dyDescent="0.25">
      <c r="A180" s="5" t="s">
        <v>6</v>
      </c>
      <c r="B180" s="6"/>
      <c r="C180" s="7"/>
      <c r="D180" s="2"/>
      <c r="E180" s="8"/>
      <c r="F180" s="8"/>
    </row>
    <row r="181" spans="1:6" x14ac:dyDescent="0.25">
      <c r="A181" s="5" t="s">
        <v>7</v>
      </c>
      <c r="B181" s="6"/>
      <c r="C181" s="7"/>
      <c r="D181" s="2"/>
      <c r="E181" s="8"/>
      <c r="F181" s="8"/>
    </row>
    <row r="182" spans="1:6" x14ac:dyDescent="0.25">
      <c r="A182" s="5" t="s">
        <v>8</v>
      </c>
      <c r="B182" s="6"/>
      <c r="C182" s="7"/>
      <c r="D182" s="2"/>
      <c r="E182" s="8"/>
      <c r="F182" s="8"/>
    </row>
    <row r="183" spans="1:6" x14ac:dyDescent="0.25">
      <c r="A183" s="5" t="s">
        <v>9</v>
      </c>
      <c r="B183" s="6"/>
      <c r="C183" s="7"/>
      <c r="D183" s="2"/>
      <c r="E183" s="8"/>
      <c r="F183" s="8"/>
    </row>
    <row r="184" spans="1:6" x14ac:dyDescent="0.25">
      <c r="A184" s="5" t="s">
        <v>10</v>
      </c>
      <c r="B184" s="6"/>
      <c r="C184" s="7"/>
      <c r="D184" s="2"/>
      <c r="E184" s="8"/>
      <c r="F184" s="8"/>
    </row>
    <row r="185" spans="1:6" x14ac:dyDescent="0.25">
      <c r="A185" s="5" t="s">
        <v>11</v>
      </c>
      <c r="B185" s="6"/>
      <c r="C185" s="7"/>
      <c r="D185" s="2"/>
      <c r="E185" s="8"/>
      <c r="F185" s="8"/>
    </row>
    <row r="186" spans="1:6" x14ac:dyDescent="0.25">
      <c r="A186" s="5" t="s">
        <v>12</v>
      </c>
      <c r="B186" s="6"/>
      <c r="C186" s="7"/>
      <c r="D186" s="2"/>
      <c r="E186" s="8"/>
      <c r="F186" s="8"/>
    </row>
    <row r="187" spans="1:6" x14ac:dyDescent="0.25">
      <c r="A187" s="5" t="s">
        <v>13</v>
      </c>
      <c r="B187" s="6"/>
      <c r="C187" s="7"/>
      <c r="D187" s="2"/>
      <c r="E187" s="8"/>
      <c r="F187" s="8"/>
    </row>
    <row r="188" spans="1:6" x14ac:dyDescent="0.25">
      <c r="A188" s="5" t="s">
        <v>14</v>
      </c>
      <c r="B188" s="6"/>
      <c r="C188" s="7"/>
      <c r="D188" s="2"/>
      <c r="E188" s="8"/>
      <c r="F188" s="8"/>
    </row>
    <row r="189" spans="1:6" x14ac:dyDescent="0.25">
      <c r="A189" s="5" t="s">
        <v>15</v>
      </c>
      <c r="B189" s="6">
        <v>2</v>
      </c>
      <c r="C189" s="7">
        <v>1</v>
      </c>
      <c r="D189" s="2">
        <f>SUM(B189:C189)</f>
        <v>3</v>
      </c>
      <c r="E189" s="8">
        <f>B189/D189</f>
        <v>0.66666666666666663</v>
      </c>
      <c r="F189" s="8">
        <f>C189/D189</f>
        <v>0.33333333333333331</v>
      </c>
    </row>
    <row r="190" spans="1:6" x14ac:dyDescent="0.25">
      <c r="A190" s="5" t="s">
        <v>16</v>
      </c>
      <c r="B190" s="6"/>
      <c r="C190" s="7"/>
      <c r="D190" s="2"/>
      <c r="E190" s="8"/>
      <c r="F190" s="8"/>
    </row>
    <row r="191" spans="1:6" x14ac:dyDescent="0.25">
      <c r="A191" s="9" t="s">
        <v>17</v>
      </c>
      <c r="B191" s="6">
        <f>SUM(B179:B190)</f>
        <v>2</v>
      </c>
      <c r="C191" s="7">
        <f>SUM(C179:C190)</f>
        <v>1</v>
      </c>
      <c r="D191" s="2">
        <f>SUM(D179:D190)</f>
        <v>3</v>
      </c>
      <c r="E191" s="8">
        <f>B191/D191</f>
        <v>0.66666666666666663</v>
      </c>
      <c r="F191" s="8">
        <f>C191/D191</f>
        <v>0.33333333333333331</v>
      </c>
    </row>
  </sheetData>
  <mergeCells count="12">
    <mergeCell ref="A1:A2"/>
    <mergeCell ref="A177:A178"/>
    <mergeCell ref="A145:A146"/>
    <mergeCell ref="A33:A34"/>
    <mergeCell ref="A49:A50"/>
    <mergeCell ref="A97:A98"/>
    <mergeCell ref="A129:A130"/>
    <mergeCell ref="A65:A66"/>
    <mergeCell ref="A81:A82"/>
    <mergeCell ref="A17:A18"/>
    <mergeCell ref="A113:A114"/>
    <mergeCell ref="A161:A16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21C1-A669-4C61-A04E-5DE1E7655187}">
  <sheetPr codeName="Planilha2"/>
  <dimension ref="A1:B15"/>
  <sheetViews>
    <sheetView workbookViewId="0">
      <selection activeCell="B13" sqref="B13"/>
    </sheetView>
  </sheetViews>
  <sheetFormatPr defaultRowHeight="15" x14ac:dyDescent="0.25"/>
  <cols>
    <col min="1" max="1" width="39.140625" customWidth="1"/>
  </cols>
  <sheetData>
    <row r="1" spans="1:2" x14ac:dyDescent="0.25">
      <c r="A1" s="18" t="s">
        <v>19</v>
      </c>
      <c r="B1" s="18" t="s">
        <v>17</v>
      </c>
    </row>
    <row r="2" spans="1:2" x14ac:dyDescent="0.25">
      <c r="A2" s="19"/>
      <c r="B2" s="20"/>
    </row>
    <row r="3" spans="1:2" x14ac:dyDescent="0.25">
      <c r="A3" s="5" t="s">
        <v>5</v>
      </c>
      <c r="B3" s="6"/>
    </row>
    <row r="4" spans="1:2" x14ac:dyDescent="0.25">
      <c r="A4" s="5" t="s">
        <v>6</v>
      </c>
      <c r="B4" s="6"/>
    </row>
    <row r="5" spans="1:2" x14ac:dyDescent="0.25">
      <c r="A5" s="5" t="s">
        <v>7</v>
      </c>
      <c r="B5" s="6"/>
    </row>
    <row r="6" spans="1:2" x14ac:dyDescent="0.25">
      <c r="A6" s="5" t="s">
        <v>8</v>
      </c>
      <c r="B6" s="6"/>
    </row>
    <row r="7" spans="1:2" x14ac:dyDescent="0.25">
      <c r="A7" s="5" t="s">
        <v>9</v>
      </c>
      <c r="B7" s="6"/>
    </row>
    <row r="8" spans="1:2" x14ac:dyDescent="0.25">
      <c r="A8" s="5" t="s">
        <v>10</v>
      </c>
      <c r="B8" s="6"/>
    </row>
    <row r="9" spans="1:2" x14ac:dyDescent="0.25">
      <c r="A9" s="5" t="s">
        <v>11</v>
      </c>
      <c r="B9" s="6"/>
    </row>
    <row r="10" spans="1:2" x14ac:dyDescent="0.25">
      <c r="A10" s="5" t="s">
        <v>12</v>
      </c>
      <c r="B10" s="6"/>
    </row>
    <row r="11" spans="1:2" x14ac:dyDescent="0.25">
      <c r="A11" s="5" t="s">
        <v>13</v>
      </c>
      <c r="B11" s="6"/>
    </row>
    <row r="12" spans="1:2" x14ac:dyDescent="0.25">
      <c r="A12" s="5" t="s">
        <v>14</v>
      </c>
      <c r="B12" s="6"/>
    </row>
    <row r="13" spans="1:2" x14ac:dyDescent="0.25">
      <c r="A13" s="5" t="s">
        <v>15</v>
      </c>
      <c r="B13" s="6"/>
    </row>
    <row r="14" spans="1:2" x14ac:dyDescent="0.25">
      <c r="A14" s="5" t="s">
        <v>16</v>
      </c>
      <c r="B14" s="6"/>
    </row>
    <row r="15" spans="1:2" x14ac:dyDescent="0.25">
      <c r="A15" s="9" t="s">
        <v>17</v>
      </c>
      <c r="B15" s="6">
        <f>SUM(B3:B14)</f>
        <v>0</v>
      </c>
    </row>
  </sheetData>
  <mergeCells count="2">
    <mergeCell ref="A1:A2"/>
    <mergeCell ref="B1:B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595D-59E8-49A4-B0BF-59E2482D360C}">
  <sheetPr codeName="Planilha3"/>
  <dimension ref="A1:BK19"/>
  <sheetViews>
    <sheetView zoomScaleNormal="100" workbookViewId="0">
      <selection activeCell="J6" sqref="J6"/>
    </sheetView>
  </sheetViews>
  <sheetFormatPr defaultRowHeight="15" x14ac:dyDescent="0.25"/>
  <cols>
    <col min="1" max="1" width="71.5703125" bestFit="1" customWidth="1"/>
    <col min="2" max="2" width="4" customWidth="1"/>
    <col min="3" max="3" width="5" customWidth="1"/>
    <col min="4" max="4" width="2.5703125" customWidth="1"/>
    <col min="5" max="5" width="4.140625" customWidth="1"/>
    <col min="6" max="6" width="5.28515625" customWidth="1"/>
    <col min="7" max="7" width="6.140625" customWidth="1"/>
    <col min="8" max="8" width="3.85546875" customWidth="1"/>
    <col min="9" max="9" width="4.28515625" customWidth="1"/>
    <col min="10" max="10" width="5.85546875" customWidth="1"/>
    <col min="11" max="11" width="5.28515625" customWidth="1"/>
    <col min="12" max="12" width="4.42578125" customWidth="1"/>
    <col min="13" max="13" width="5.5703125" bestFit="1" customWidth="1"/>
    <col min="14" max="14" width="4.28515625" customWidth="1"/>
    <col min="15" max="15" width="5.5703125" customWidth="1"/>
    <col min="16" max="16" width="4.140625" customWidth="1"/>
    <col min="17" max="17" width="5.28515625" customWidth="1"/>
    <col min="18" max="18" width="4" customWidth="1"/>
    <col min="19" max="19" width="5" customWidth="1"/>
    <col min="20" max="20" width="4.42578125" customWidth="1"/>
    <col min="21" max="21" width="6.140625" customWidth="1"/>
    <col min="22" max="22" width="3.85546875" customWidth="1"/>
    <col min="23" max="24" width="5.28515625" customWidth="1"/>
    <col min="25" max="25" width="6.7109375" customWidth="1"/>
    <col min="26" max="26" width="4.28515625" customWidth="1"/>
    <col min="27" max="27" width="5.5703125" customWidth="1"/>
    <col min="28" max="28" width="4.140625" customWidth="1"/>
    <col min="29" max="29" width="5.28515625" customWidth="1"/>
    <col min="30" max="30" width="4" customWidth="1"/>
    <col min="31" max="31" width="5" customWidth="1"/>
    <col min="32" max="32" width="4.42578125" customWidth="1"/>
    <col min="33" max="33" width="6.140625" customWidth="1"/>
    <col min="34" max="34" width="3.85546875" customWidth="1"/>
    <col min="35" max="36" width="5.28515625" customWidth="1"/>
    <col min="37" max="37" width="6.7109375" customWidth="1"/>
    <col min="38" max="38" width="4.28515625" customWidth="1"/>
    <col min="39" max="39" width="5.5703125" customWidth="1"/>
    <col min="40" max="40" width="4.140625" customWidth="1"/>
    <col min="41" max="41" width="5.28515625" customWidth="1"/>
    <col min="42" max="42" width="4" customWidth="1"/>
    <col min="43" max="43" width="5" customWidth="1"/>
    <col min="44" max="44" width="4.42578125" customWidth="1"/>
    <col min="45" max="45" width="6.140625" customWidth="1"/>
    <col min="46" max="46" width="3.85546875" customWidth="1"/>
    <col min="47" max="48" width="5.28515625" customWidth="1"/>
    <col min="49" max="49" width="6.7109375" customWidth="1"/>
  </cols>
  <sheetData>
    <row r="1" spans="1:63" x14ac:dyDescent="0.25">
      <c r="A1" s="21" t="s">
        <v>35</v>
      </c>
      <c r="B1" s="23" t="s">
        <v>65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5"/>
      <c r="N1" s="23" t="s">
        <v>66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5"/>
      <c r="Z1" s="23" t="s">
        <v>67</v>
      </c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5"/>
      <c r="AL1" s="23" t="s">
        <v>68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5"/>
      <c r="AX1" s="23" t="s">
        <v>17</v>
      </c>
      <c r="AY1" s="24"/>
      <c r="AZ1" s="24"/>
      <c r="BA1" s="24"/>
      <c r="BB1" s="24"/>
      <c r="BC1" s="24"/>
      <c r="BD1" s="24"/>
      <c r="BE1" s="24"/>
      <c r="BF1" s="24"/>
      <c r="BG1" s="24"/>
      <c r="BH1" s="24"/>
      <c r="BI1" s="26"/>
      <c r="BJ1" s="26"/>
      <c r="BK1" s="26"/>
    </row>
    <row r="2" spans="1:63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37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0" t="s">
        <v>39</v>
      </c>
      <c r="AM2" s="10" t="s">
        <v>40</v>
      </c>
      <c r="AN2" s="10" t="s">
        <v>44</v>
      </c>
      <c r="AO2" s="10" t="s">
        <v>20</v>
      </c>
      <c r="AP2" s="10" t="s">
        <v>45</v>
      </c>
      <c r="AQ2" s="10" t="s">
        <v>42</v>
      </c>
      <c r="AR2" s="10" t="s">
        <v>43</v>
      </c>
      <c r="AS2" s="10" t="s">
        <v>36</v>
      </c>
      <c r="AT2" s="10" t="s">
        <v>46</v>
      </c>
      <c r="AU2" s="10" t="s">
        <v>38</v>
      </c>
      <c r="AV2" s="10" t="s">
        <v>41</v>
      </c>
      <c r="AW2" s="10" t="s">
        <v>37</v>
      </c>
      <c r="AX2" s="15" t="s">
        <v>39</v>
      </c>
      <c r="AY2" s="15" t="s">
        <v>40</v>
      </c>
      <c r="AZ2" s="15" t="s">
        <v>44</v>
      </c>
      <c r="BA2" s="15" t="s">
        <v>20</v>
      </c>
      <c r="BB2" s="15" t="s">
        <v>45</v>
      </c>
      <c r="BC2" s="15" t="s">
        <v>42</v>
      </c>
      <c r="BD2" s="15" t="s">
        <v>43</v>
      </c>
      <c r="BE2" s="15" t="s">
        <v>36</v>
      </c>
      <c r="BF2" s="15" t="s">
        <v>46</v>
      </c>
      <c r="BG2" s="15" t="s">
        <v>38</v>
      </c>
      <c r="BH2" s="15" t="s">
        <v>41</v>
      </c>
      <c r="BI2" s="15" t="s">
        <v>37</v>
      </c>
      <c r="BJ2" s="16" t="s">
        <v>17</v>
      </c>
    </row>
    <row r="3" spans="1:63" x14ac:dyDescent="0.25">
      <c r="A3" s="12" t="s">
        <v>17</v>
      </c>
      <c r="B3">
        <f>SUM(B4:B18)</f>
        <v>22</v>
      </c>
      <c r="C3">
        <f t="shared" ref="C3:AK3" si="0">SUM(C4:C18)</f>
        <v>0</v>
      </c>
      <c r="D3">
        <f t="shared" si="0"/>
        <v>0</v>
      </c>
      <c r="E3">
        <f t="shared" si="0"/>
        <v>0</v>
      </c>
      <c r="F3">
        <f t="shared" si="0"/>
        <v>8</v>
      </c>
      <c r="G3">
        <f t="shared" si="0"/>
        <v>24</v>
      </c>
      <c r="H3">
        <f t="shared" si="0"/>
        <v>0</v>
      </c>
      <c r="I3">
        <f t="shared" si="0"/>
        <v>62</v>
      </c>
      <c r="J3">
        <f t="shared" si="0"/>
        <v>0</v>
      </c>
      <c r="K3">
        <f t="shared" si="0"/>
        <v>16</v>
      </c>
      <c r="L3">
        <f t="shared" si="0"/>
        <v>8</v>
      </c>
      <c r="M3">
        <f t="shared" si="0"/>
        <v>26</v>
      </c>
      <c r="N3" t="e">
        <f t="shared" si="0"/>
        <v>#REF!</v>
      </c>
      <c r="O3" t="e">
        <f t="shared" si="0"/>
        <v>#REF!</v>
      </c>
      <c r="P3" t="e">
        <f t="shared" si="0"/>
        <v>#REF!</v>
      </c>
      <c r="Q3" t="e">
        <f t="shared" si="0"/>
        <v>#REF!</v>
      </c>
      <c r="R3" t="e">
        <f t="shared" si="0"/>
        <v>#REF!</v>
      </c>
      <c r="S3" t="e">
        <f t="shared" si="0"/>
        <v>#REF!</v>
      </c>
      <c r="T3" t="e">
        <f t="shared" si="0"/>
        <v>#REF!</v>
      </c>
      <c r="U3" t="e">
        <f t="shared" si="0"/>
        <v>#REF!</v>
      </c>
      <c r="V3" t="e">
        <f t="shared" si="0"/>
        <v>#REF!</v>
      </c>
      <c r="W3" t="e">
        <f t="shared" si="0"/>
        <v>#REF!</v>
      </c>
      <c r="X3" t="e">
        <f t="shared" si="0"/>
        <v>#REF!</v>
      </c>
      <c r="Y3" t="e">
        <f t="shared" si="0"/>
        <v>#REF!</v>
      </c>
      <c r="Z3">
        <f t="shared" si="0"/>
        <v>0</v>
      </c>
      <c r="AA3">
        <f t="shared" si="0"/>
        <v>0</v>
      </c>
      <c r="AB3">
        <f t="shared" si="0"/>
        <v>18</v>
      </c>
      <c r="AC3">
        <f t="shared" si="0"/>
        <v>8</v>
      </c>
      <c r="AD3">
        <f t="shared" si="0"/>
        <v>4</v>
      </c>
      <c r="AE3">
        <f t="shared" si="0"/>
        <v>6</v>
      </c>
      <c r="AF3">
        <f t="shared" si="0"/>
        <v>0</v>
      </c>
      <c r="AG3">
        <f t="shared" si="0"/>
        <v>0</v>
      </c>
      <c r="AH3">
        <f t="shared" si="0"/>
        <v>0</v>
      </c>
      <c r="AI3">
        <f t="shared" si="0"/>
        <v>12</v>
      </c>
      <c r="AJ3">
        <f t="shared" si="0"/>
        <v>4</v>
      </c>
      <c r="AK3">
        <f t="shared" si="0"/>
        <v>0</v>
      </c>
      <c r="AL3">
        <f t="shared" ref="AL3:AW3" si="1">SUM(AL4:AL18)</f>
        <v>0</v>
      </c>
      <c r="AM3">
        <f t="shared" si="1"/>
        <v>0</v>
      </c>
      <c r="AN3">
        <f t="shared" si="1"/>
        <v>0</v>
      </c>
      <c r="AO3">
        <f t="shared" si="1"/>
        <v>0</v>
      </c>
      <c r="AP3">
        <f t="shared" si="1"/>
        <v>0</v>
      </c>
      <c r="AQ3">
        <f t="shared" si="1"/>
        <v>0</v>
      </c>
      <c r="AR3">
        <f t="shared" si="1"/>
        <v>0</v>
      </c>
      <c r="AS3">
        <f t="shared" si="1"/>
        <v>0</v>
      </c>
      <c r="AT3">
        <f t="shared" si="1"/>
        <v>0</v>
      </c>
      <c r="AU3">
        <f t="shared" si="1"/>
        <v>0</v>
      </c>
      <c r="AV3">
        <f t="shared" si="1"/>
        <v>0</v>
      </c>
      <c r="AW3">
        <f t="shared" si="1"/>
        <v>0</v>
      </c>
      <c r="AX3" s="14" t="e">
        <f>B3+N3+Z3+AL3</f>
        <v>#REF!</v>
      </c>
      <c r="AY3" s="14" t="e">
        <f t="shared" ref="AY3" si="2">C3+O3+AA3+AM3</f>
        <v>#REF!</v>
      </c>
      <c r="AZ3" s="14" t="e">
        <f t="shared" ref="AZ3" si="3">D3+P3+AB3+AN3</f>
        <v>#REF!</v>
      </c>
      <c r="BA3" s="14" t="e">
        <f t="shared" ref="BA3" si="4">E3+Q3+AC3+AO3</f>
        <v>#REF!</v>
      </c>
      <c r="BB3" s="14" t="e">
        <f t="shared" ref="BB3" si="5">F3+R3+AD3+AP3</f>
        <v>#REF!</v>
      </c>
      <c r="BC3" s="14" t="e">
        <f t="shared" ref="BC3" si="6">G3+S3+AE3+AQ3</f>
        <v>#REF!</v>
      </c>
      <c r="BD3" s="14" t="e">
        <f t="shared" ref="BD3" si="7">H3+T3+AF3+AR3</f>
        <v>#REF!</v>
      </c>
      <c r="BE3" s="14" t="e">
        <f t="shared" ref="BE3" si="8">I3+U3+AG3+AS3</f>
        <v>#REF!</v>
      </c>
      <c r="BF3" s="14" t="e">
        <f t="shared" ref="BF3" si="9">J3+V3+AH3+AT3</f>
        <v>#REF!</v>
      </c>
      <c r="BG3" s="14" t="e">
        <f t="shared" ref="BG3" si="10">K3+W3+AI3+AU3</f>
        <v>#REF!</v>
      </c>
      <c r="BH3" s="14" t="e">
        <f t="shared" ref="BH3" si="11">L3+X3+AJ3+AV3</f>
        <v>#REF!</v>
      </c>
      <c r="BI3" s="14" t="e">
        <f t="shared" ref="BI3" si="12">M3+Y3+AK3+AW3</f>
        <v>#REF!</v>
      </c>
      <c r="BJ3" s="14" t="e">
        <f>SUM(AX3:BI3)</f>
        <v>#REF!</v>
      </c>
    </row>
    <row r="4" spans="1:63" x14ac:dyDescent="0.25">
      <c r="A4" t="s">
        <v>21</v>
      </c>
      <c r="B4" s="10">
        <f>Neomater!B3+Neomater!N3+Neomater!CT3</f>
        <v>0</v>
      </c>
      <c r="C4" s="10">
        <f>Neomater!C3+Neomater!O3+Neomater!CU3</f>
        <v>0</v>
      </c>
      <c r="D4" s="10">
        <f>Neomater!D3+Neomater!P3+Neomater!CV3</f>
        <v>0</v>
      </c>
      <c r="E4" s="10">
        <f>Neomater!E3+Neomater!Q3+Neomater!CW3</f>
        <v>0</v>
      </c>
      <c r="F4" s="10">
        <f>Neomater!F3+Neomater!R3+Neomater!CX3</f>
        <v>0</v>
      </c>
      <c r="G4" s="10">
        <f>Neomater!G3+Neomater!S3+Neomater!CY3</f>
        <v>0</v>
      </c>
      <c r="H4" s="10">
        <f>Neomater!H3+Neomater!T3+Neomater!CZ3</f>
        <v>0</v>
      </c>
      <c r="I4" s="10">
        <f>Neomater!I3+Neomater!U3+Neomater!DA3</f>
        <v>0</v>
      </c>
      <c r="J4" s="10">
        <f>Neomater!J3+Neomater!V3+Neomater!DB3</f>
        <v>0</v>
      </c>
      <c r="K4" s="10">
        <f>Neomater!K3+Neomater!W3+Neomater!DC3</f>
        <v>0</v>
      </c>
      <c r="L4" s="10">
        <f>Neomater!L3+Neomater!X3+Neomater!DD3</f>
        <v>0</v>
      </c>
      <c r="M4" s="10">
        <f>Neomater!M3+Neomater!Y3+Neomater!DE3</f>
        <v>0</v>
      </c>
      <c r="N4" s="10" t="e">
        <f>Neotin!B3+Neotin!N3+Neotin!#REF!</f>
        <v>#REF!</v>
      </c>
      <c r="O4" s="10" t="e">
        <f>Neotin!C3+Neotin!O3+Neotin!#REF!</f>
        <v>#REF!</v>
      </c>
      <c r="P4" s="10" t="e">
        <f>Neotin!D3+Neotin!P3+Neotin!#REF!</f>
        <v>#REF!</v>
      </c>
      <c r="Q4" s="10" t="e">
        <f>Neotin!E3+Neotin!Q3+Neotin!#REF!</f>
        <v>#REF!</v>
      </c>
      <c r="R4" s="10" t="e">
        <f>Neotin!F3+Neotin!R3+Neotin!#REF!</f>
        <v>#REF!</v>
      </c>
      <c r="S4" s="10" t="e">
        <f>Neotin!G3+Neotin!S3+Neotin!#REF!</f>
        <v>#REF!</v>
      </c>
      <c r="T4" s="10" t="e">
        <f>Neotin!H3+Neotin!T3+Neotin!#REF!</f>
        <v>#REF!</v>
      </c>
      <c r="U4" s="10" t="e">
        <f>Neotin!I3+Neotin!U3+Neotin!#REF!</f>
        <v>#REF!</v>
      </c>
      <c r="V4" s="10" t="e">
        <f>Neotin!J3+Neotin!V3+Neotin!#REF!</f>
        <v>#REF!</v>
      </c>
      <c r="W4" s="10" t="e">
        <f>Neotin!K3+Neotin!W3+Neotin!#REF!</f>
        <v>#REF!</v>
      </c>
      <c r="X4" s="10" t="e">
        <f>Neotin!L3+Neotin!X3+Neotin!#REF!</f>
        <v>#REF!</v>
      </c>
      <c r="Y4" s="10" t="e">
        <f>Neotin!M3+Neotin!Y3+Neotin!#REF!</f>
        <v>#REF!</v>
      </c>
      <c r="Z4" s="10">
        <f>ProntoBaby!B3+ProntoBaby!N3+ProntoBaby!Z3</f>
        <v>0</v>
      </c>
      <c r="AA4" s="10">
        <f>ProntoBaby!C3+ProntoBaby!O3+ProntoBaby!AA3</f>
        <v>0</v>
      </c>
      <c r="AB4" s="10">
        <f>ProntoBaby!D3+ProntoBaby!P3+ProntoBaby!AB3</f>
        <v>10</v>
      </c>
      <c r="AC4" s="10">
        <f>ProntoBaby!E3+ProntoBaby!Q3+ProntoBaby!AC3</f>
        <v>4</v>
      </c>
      <c r="AD4" s="10">
        <f>ProntoBaby!F3+ProntoBaby!R3+ProntoBaby!AD3</f>
        <v>2</v>
      </c>
      <c r="AE4" s="10">
        <f>ProntoBaby!G3+ProntoBaby!S3+ProntoBaby!AE3</f>
        <v>4</v>
      </c>
      <c r="AF4" s="10">
        <f>ProntoBaby!H3+ProntoBaby!T3+ProntoBaby!AF3</f>
        <v>0</v>
      </c>
      <c r="AG4" s="10">
        <f>ProntoBaby!I3+ProntoBaby!U3+ProntoBaby!AG3</f>
        <v>0</v>
      </c>
      <c r="AH4" s="10">
        <f>ProntoBaby!J3+ProntoBaby!V3+ProntoBaby!AH3</f>
        <v>0</v>
      </c>
      <c r="AI4" s="10">
        <f>ProntoBaby!K3+ProntoBaby!W3+ProntoBaby!AI3</f>
        <v>6</v>
      </c>
      <c r="AJ4" s="10">
        <f>ProntoBaby!L3+ProntoBaby!X3+ProntoBaby!AJ3</f>
        <v>2</v>
      </c>
      <c r="AK4" s="10">
        <f>ProntoBaby!M3+ProntoBaby!Y3+ProntoBaby!AK3</f>
        <v>0</v>
      </c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4" t="e">
        <f>B4+N4+Z4+AL4</f>
        <v>#REF!</v>
      </c>
      <c r="AY4" s="14" t="e">
        <f t="shared" ref="AY4:BI4" si="13">C4+O4+AA4+AM4</f>
        <v>#REF!</v>
      </c>
      <c r="AZ4" s="14" t="e">
        <f t="shared" si="13"/>
        <v>#REF!</v>
      </c>
      <c r="BA4" s="14" t="e">
        <f t="shared" si="13"/>
        <v>#REF!</v>
      </c>
      <c r="BB4" s="14" t="e">
        <f t="shared" si="13"/>
        <v>#REF!</v>
      </c>
      <c r="BC4" s="14" t="e">
        <f t="shared" si="13"/>
        <v>#REF!</v>
      </c>
      <c r="BD4" s="14" t="e">
        <f t="shared" si="13"/>
        <v>#REF!</v>
      </c>
      <c r="BE4" s="14" t="e">
        <f t="shared" si="13"/>
        <v>#REF!</v>
      </c>
      <c r="BF4" s="14" t="e">
        <f t="shared" si="13"/>
        <v>#REF!</v>
      </c>
      <c r="BG4" s="14" t="e">
        <f t="shared" si="13"/>
        <v>#REF!</v>
      </c>
      <c r="BH4" s="14" t="e">
        <f t="shared" si="13"/>
        <v>#REF!</v>
      </c>
      <c r="BI4" s="14" t="e">
        <f t="shared" si="13"/>
        <v>#REF!</v>
      </c>
      <c r="BJ4" s="14" t="e">
        <f t="shared" ref="BJ4:BJ18" si="14">SUM(AX4:BI4)</f>
        <v>#REF!</v>
      </c>
    </row>
    <row r="5" spans="1:63" x14ac:dyDescent="0.25">
      <c r="A5" t="s">
        <v>22</v>
      </c>
      <c r="B5" s="10">
        <f>Neomater!B4+Neomater!N4+Neomater!CT4</f>
        <v>8</v>
      </c>
      <c r="C5" s="10">
        <f>Neomater!C4+Neomater!O4+Neomater!CU4</f>
        <v>0</v>
      </c>
      <c r="D5" s="10">
        <f>Neomater!D4+Neomater!P4+Neomater!CV4</f>
        <v>0</v>
      </c>
      <c r="E5" s="10">
        <f>Neomater!E4+Neomater!Q4+Neomater!CW4</f>
        <v>0</v>
      </c>
      <c r="F5" s="10">
        <f>Neomater!F4+Neomater!R4+Neomater!CX4</f>
        <v>2</v>
      </c>
      <c r="G5" s="10">
        <f>Neomater!G4+Neomater!S4+Neomater!CY4</f>
        <v>8</v>
      </c>
      <c r="H5" s="10">
        <f>Neomater!H4+Neomater!T4+Neomater!CZ4</f>
        <v>0</v>
      </c>
      <c r="I5" s="10">
        <f>Neomater!I4+Neomater!U4+Neomater!DA4</f>
        <v>28</v>
      </c>
      <c r="J5" s="10">
        <f>Neomater!J4+Neomater!V4+Neomater!DB4</f>
        <v>0</v>
      </c>
      <c r="K5" s="10">
        <f>Neomater!K4+Neomater!W4+Neomater!DC4</f>
        <v>8</v>
      </c>
      <c r="L5" s="10">
        <f>Neomater!L4+Neomater!X4+Neomater!DD4</f>
        <v>4</v>
      </c>
      <c r="M5" s="10">
        <f>Neomater!M4+Neomater!Y4+Neomater!DE4</f>
        <v>12</v>
      </c>
      <c r="N5" s="10" t="e">
        <f>Neotin!B4+Neotin!N4+Neotin!#REF!</f>
        <v>#REF!</v>
      </c>
      <c r="O5" s="10" t="e">
        <f>Neotin!C4+Neotin!O4+Neotin!#REF!</f>
        <v>#REF!</v>
      </c>
      <c r="P5" s="10" t="e">
        <f>Neotin!D4+Neotin!P4+Neotin!#REF!</f>
        <v>#REF!</v>
      </c>
      <c r="Q5" s="10" t="e">
        <f>Neotin!E4+Neotin!Q4+Neotin!#REF!</f>
        <v>#REF!</v>
      </c>
      <c r="R5" s="10" t="e">
        <f>Neotin!F4+Neotin!R4+Neotin!#REF!</f>
        <v>#REF!</v>
      </c>
      <c r="S5" s="10" t="e">
        <f>Neotin!G4+Neotin!S4+Neotin!#REF!</f>
        <v>#REF!</v>
      </c>
      <c r="T5" s="10" t="e">
        <f>Neotin!H4+Neotin!T4+Neotin!#REF!</f>
        <v>#REF!</v>
      </c>
      <c r="U5" s="10" t="e">
        <f>Neotin!I4+Neotin!U4+Neotin!#REF!</f>
        <v>#REF!</v>
      </c>
      <c r="V5" s="10" t="e">
        <f>Neotin!J4+Neotin!V4+Neotin!#REF!</f>
        <v>#REF!</v>
      </c>
      <c r="W5" s="10" t="e">
        <f>Neotin!K4+Neotin!W4+Neotin!#REF!</f>
        <v>#REF!</v>
      </c>
      <c r="X5" s="10" t="e">
        <f>Neotin!L4+Neotin!X4+Neotin!#REF!</f>
        <v>#REF!</v>
      </c>
      <c r="Y5" s="10" t="e">
        <f>Neotin!M4+Neotin!Y4+Neotin!#REF!</f>
        <v>#REF!</v>
      </c>
      <c r="Z5" s="10">
        <f>ProntoBaby!B4+ProntoBaby!N4+ProntoBaby!Z4</f>
        <v>0</v>
      </c>
      <c r="AA5" s="10">
        <f>ProntoBaby!C4+ProntoBaby!O4+ProntoBaby!AA4</f>
        <v>0</v>
      </c>
      <c r="AB5" s="10">
        <f>ProntoBaby!D4+ProntoBaby!P4+ProntoBaby!AB4</f>
        <v>0</v>
      </c>
      <c r="AC5" s="10">
        <f>ProntoBaby!E4+ProntoBaby!Q4+ProntoBaby!AC4</f>
        <v>0</v>
      </c>
      <c r="AD5" s="10">
        <f>ProntoBaby!F4+ProntoBaby!R4+ProntoBaby!AD4</f>
        <v>0</v>
      </c>
      <c r="AE5" s="10">
        <f>ProntoBaby!G4+ProntoBaby!S4+ProntoBaby!AE4</f>
        <v>0</v>
      </c>
      <c r="AF5" s="10">
        <f>ProntoBaby!H4+ProntoBaby!T4+ProntoBaby!AF4</f>
        <v>0</v>
      </c>
      <c r="AG5" s="10">
        <f>ProntoBaby!I4+ProntoBaby!U4+ProntoBaby!AG4</f>
        <v>0</v>
      </c>
      <c r="AH5" s="10">
        <f>ProntoBaby!J4+ProntoBaby!V4+ProntoBaby!AH4</f>
        <v>0</v>
      </c>
      <c r="AI5" s="10">
        <f>ProntoBaby!K4+ProntoBaby!W4+ProntoBaby!AI4</f>
        <v>0</v>
      </c>
      <c r="AJ5" s="10">
        <f>ProntoBaby!L4+ProntoBaby!X4+ProntoBaby!AJ4</f>
        <v>0</v>
      </c>
      <c r="AK5" s="10">
        <f>ProntoBaby!M4+ProntoBaby!Y4+ProntoBaby!AK4</f>
        <v>0</v>
      </c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4" t="e">
        <f t="shared" ref="AX5:AX18" si="15">B5+N5+Z5+AL5</f>
        <v>#REF!</v>
      </c>
      <c r="AY5" s="14" t="e">
        <f t="shared" ref="AY5:AY18" si="16">C5+O5+AA5+AM5</f>
        <v>#REF!</v>
      </c>
      <c r="AZ5" s="14" t="e">
        <f t="shared" ref="AZ5:AZ18" si="17">D5+P5+AB5+AN5</f>
        <v>#REF!</v>
      </c>
      <c r="BA5" s="14" t="e">
        <f t="shared" ref="BA5:BA18" si="18">E5+Q5+AC5+AO5</f>
        <v>#REF!</v>
      </c>
      <c r="BB5" s="14" t="e">
        <f t="shared" ref="BB5:BB18" si="19">F5+R5+AD5+AP5</f>
        <v>#REF!</v>
      </c>
      <c r="BC5" s="14" t="e">
        <f t="shared" ref="BC5:BC18" si="20">G5+S5+AE5+AQ5</f>
        <v>#REF!</v>
      </c>
      <c r="BD5" s="14" t="e">
        <f t="shared" ref="BD5:BD18" si="21">H5+T5+AF5+AR5</f>
        <v>#REF!</v>
      </c>
      <c r="BE5" s="14" t="e">
        <f t="shared" ref="BE5:BE18" si="22">I5+U5+AG5+AS5</f>
        <v>#REF!</v>
      </c>
      <c r="BF5" s="14" t="e">
        <f t="shared" ref="BF5:BF18" si="23">J5+V5+AH5+AT5</f>
        <v>#REF!</v>
      </c>
      <c r="BG5" s="14" t="e">
        <f t="shared" ref="BG5:BG18" si="24">K5+W5+AI5+AU5</f>
        <v>#REF!</v>
      </c>
      <c r="BH5" s="14" t="e">
        <f t="shared" ref="BH5:BH18" si="25">L5+X5+AJ5+AV5</f>
        <v>#REF!</v>
      </c>
      <c r="BI5" s="14" t="e">
        <f t="shared" ref="BI5:BI18" si="26">M5+Y5+AK5+AW5</f>
        <v>#REF!</v>
      </c>
      <c r="BJ5" s="14" t="e">
        <f t="shared" si="14"/>
        <v>#REF!</v>
      </c>
    </row>
    <row r="6" spans="1:63" x14ac:dyDescent="0.25">
      <c r="A6" t="s">
        <v>23</v>
      </c>
      <c r="B6" s="10">
        <f>Neomater!B5+Neomater!N5+Neomater!CT5</f>
        <v>0</v>
      </c>
      <c r="C6" s="10">
        <f>Neomater!C5+Neomater!O5+Neomater!CU5</f>
        <v>0</v>
      </c>
      <c r="D6" s="10">
        <f>Neomater!D5+Neomater!P5+Neomater!CV5</f>
        <v>0</v>
      </c>
      <c r="E6" s="10">
        <f>Neomater!E5+Neomater!Q5+Neomater!CW5</f>
        <v>0</v>
      </c>
      <c r="F6" s="10">
        <f>Neomater!F5+Neomater!R5+Neomater!CX5</f>
        <v>0</v>
      </c>
      <c r="G6" s="10">
        <f>Neomater!G5+Neomater!S5+Neomater!CY5</f>
        <v>0</v>
      </c>
      <c r="H6" s="10">
        <f>Neomater!H5+Neomater!T5+Neomater!CZ5</f>
        <v>0</v>
      </c>
      <c r="I6" s="10">
        <f>Neomater!I5+Neomater!U5+Neomater!DA5</f>
        <v>0</v>
      </c>
      <c r="J6" s="10">
        <f>Neomater!J5+Neomater!V5+Neomater!DB5</f>
        <v>0</v>
      </c>
      <c r="K6" s="10">
        <f>Neomater!K5+Neomater!W5+Neomater!DC5</f>
        <v>0</v>
      </c>
      <c r="L6" s="10">
        <f>Neomater!L5+Neomater!X5+Neomater!DD5</f>
        <v>0</v>
      </c>
      <c r="M6" s="10">
        <f>Neomater!M5+Neomater!Y5+Neomater!DE5</f>
        <v>0</v>
      </c>
      <c r="N6" s="10" t="e">
        <f>Neotin!B5+Neotin!N5+Neotin!#REF!</f>
        <v>#REF!</v>
      </c>
      <c r="O6" s="10" t="e">
        <f>Neotin!C5+Neotin!O5+Neotin!#REF!</f>
        <v>#REF!</v>
      </c>
      <c r="P6" s="10" t="e">
        <f>Neotin!D5+Neotin!P5+Neotin!#REF!</f>
        <v>#REF!</v>
      </c>
      <c r="Q6" s="10" t="e">
        <f>Neotin!E5+Neotin!Q5+Neotin!#REF!</f>
        <v>#REF!</v>
      </c>
      <c r="R6" s="10" t="e">
        <f>Neotin!F5+Neotin!R5+Neotin!#REF!</f>
        <v>#REF!</v>
      </c>
      <c r="S6" s="10" t="e">
        <f>Neotin!G5+Neotin!S5+Neotin!#REF!</f>
        <v>#REF!</v>
      </c>
      <c r="T6" s="10" t="e">
        <f>Neotin!H5+Neotin!T5+Neotin!#REF!</f>
        <v>#REF!</v>
      </c>
      <c r="U6" s="10" t="e">
        <f>Neotin!I5+Neotin!U5+Neotin!#REF!</f>
        <v>#REF!</v>
      </c>
      <c r="V6" s="10" t="e">
        <f>Neotin!J5+Neotin!V5+Neotin!#REF!</f>
        <v>#REF!</v>
      </c>
      <c r="W6" s="10" t="e">
        <f>Neotin!K5+Neotin!W5+Neotin!#REF!</f>
        <v>#REF!</v>
      </c>
      <c r="X6" s="10" t="e">
        <f>Neotin!L5+Neotin!X5+Neotin!#REF!</f>
        <v>#REF!</v>
      </c>
      <c r="Y6" s="10" t="e">
        <f>Neotin!M5+Neotin!Y5+Neotin!#REF!</f>
        <v>#REF!</v>
      </c>
      <c r="Z6" s="10">
        <f>ProntoBaby!B5+ProntoBaby!N5+ProntoBaby!Z5</f>
        <v>0</v>
      </c>
      <c r="AA6" s="10">
        <f>ProntoBaby!C5+ProntoBaby!O5+ProntoBaby!AA5</f>
        <v>0</v>
      </c>
      <c r="AB6" s="10">
        <f>ProntoBaby!D5+ProntoBaby!P5+ProntoBaby!AB5</f>
        <v>0</v>
      </c>
      <c r="AC6" s="10">
        <f>ProntoBaby!E5+ProntoBaby!Q5+ProntoBaby!AC5</f>
        <v>0</v>
      </c>
      <c r="AD6" s="10">
        <f>ProntoBaby!F5+ProntoBaby!R5+ProntoBaby!AD5</f>
        <v>0</v>
      </c>
      <c r="AE6" s="10">
        <f>ProntoBaby!G5+ProntoBaby!S5+ProntoBaby!AE5</f>
        <v>0</v>
      </c>
      <c r="AF6" s="10">
        <f>ProntoBaby!H5+ProntoBaby!T5+ProntoBaby!AF5</f>
        <v>0</v>
      </c>
      <c r="AG6" s="10">
        <f>ProntoBaby!I5+ProntoBaby!U5+ProntoBaby!AG5</f>
        <v>0</v>
      </c>
      <c r="AH6" s="10">
        <f>ProntoBaby!J5+ProntoBaby!V5+ProntoBaby!AH5</f>
        <v>0</v>
      </c>
      <c r="AI6" s="10">
        <f>ProntoBaby!K5+ProntoBaby!W5+ProntoBaby!AI5</f>
        <v>0</v>
      </c>
      <c r="AJ6" s="10">
        <f>ProntoBaby!L5+ProntoBaby!X5+ProntoBaby!AJ5</f>
        <v>0</v>
      </c>
      <c r="AK6" s="10">
        <f>ProntoBaby!M5+ProntoBaby!Y5+ProntoBaby!AK5</f>
        <v>0</v>
      </c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4" t="e">
        <f t="shared" si="15"/>
        <v>#REF!</v>
      </c>
      <c r="AY6" s="14" t="e">
        <f t="shared" si="16"/>
        <v>#REF!</v>
      </c>
      <c r="AZ6" s="14" t="e">
        <f t="shared" si="17"/>
        <v>#REF!</v>
      </c>
      <c r="BA6" s="14" t="e">
        <f t="shared" si="18"/>
        <v>#REF!</v>
      </c>
      <c r="BB6" s="14" t="e">
        <f t="shared" si="19"/>
        <v>#REF!</v>
      </c>
      <c r="BC6" s="14" t="e">
        <f t="shared" si="20"/>
        <v>#REF!</v>
      </c>
      <c r="BD6" s="14" t="e">
        <f t="shared" si="21"/>
        <v>#REF!</v>
      </c>
      <c r="BE6" s="14" t="e">
        <f t="shared" si="22"/>
        <v>#REF!</v>
      </c>
      <c r="BF6" s="14" t="e">
        <f t="shared" si="23"/>
        <v>#REF!</v>
      </c>
      <c r="BG6" s="14" t="e">
        <f t="shared" si="24"/>
        <v>#REF!</v>
      </c>
      <c r="BH6" s="14" t="e">
        <f t="shared" si="25"/>
        <v>#REF!</v>
      </c>
      <c r="BI6" s="14" t="e">
        <f t="shared" si="26"/>
        <v>#REF!</v>
      </c>
      <c r="BJ6" s="14" t="e">
        <f t="shared" si="14"/>
        <v>#REF!</v>
      </c>
    </row>
    <row r="7" spans="1:63" x14ac:dyDescent="0.25">
      <c r="A7" t="s">
        <v>59</v>
      </c>
      <c r="B7" s="10">
        <f>Neomater!B6+Neomater!N6+Neomater!CT6</f>
        <v>0</v>
      </c>
      <c r="C7" s="10">
        <f>Neomater!C6+Neomater!O6+Neomater!CU6</f>
        <v>0</v>
      </c>
      <c r="D7" s="10">
        <f>Neomater!D6+Neomater!P6+Neomater!CV6</f>
        <v>0</v>
      </c>
      <c r="E7" s="10">
        <f>Neomater!E6+Neomater!Q6+Neomater!CW6</f>
        <v>0</v>
      </c>
      <c r="F7" s="10">
        <f>Neomater!F6+Neomater!R6+Neomater!CX6</f>
        <v>0</v>
      </c>
      <c r="G7" s="10">
        <f>Neomater!G6+Neomater!S6+Neomater!CY6</f>
        <v>0</v>
      </c>
      <c r="H7" s="10">
        <f>Neomater!H6+Neomater!T6+Neomater!CZ6</f>
        <v>0</v>
      </c>
      <c r="I7" s="10">
        <f>Neomater!I6+Neomater!U6+Neomater!DA6</f>
        <v>0</v>
      </c>
      <c r="J7" s="10">
        <f>Neomater!J6+Neomater!V6+Neomater!DB6</f>
        <v>0</v>
      </c>
      <c r="K7" s="10">
        <f>Neomater!K6+Neomater!W6+Neomater!DC6</f>
        <v>0</v>
      </c>
      <c r="L7" s="10">
        <f>Neomater!L6+Neomater!X6+Neomater!DD6</f>
        <v>0</v>
      </c>
      <c r="M7" s="10">
        <f>Neomater!M6+Neomater!Y6+Neomater!DE6</f>
        <v>0</v>
      </c>
      <c r="N7" s="10" t="e">
        <f>Neotin!B6+Neotin!N6+Neotin!#REF!</f>
        <v>#REF!</v>
      </c>
      <c r="O7" s="10" t="e">
        <f>Neotin!C6+Neotin!O6+Neotin!#REF!</f>
        <v>#REF!</v>
      </c>
      <c r="P7" s="10" t="e">
        <f>Neotin!D6+Neotin!P6+Neotin!#REF!</f>
        <v>#REF!</v>
      </c>
      <c r="Q7" s="10" t="e">
        <f>Neotin!E6+Neotin!Q6+Neotin!#REF!</f>
        <v>#REF!</v>
      </c>
      <c r="R7" s="10" t="e">
        <f>Neotin!F6+Neotin!R6+Neotin!#REF!</f>
        <v>#REF!</v>
      </c>
      <c r="S7" s="10" t="e">
        <f>Neotin!G6+Neotin!S6+Neotin!#REF!</f>
        <v>#REF!</v>
      </c>
      <c r="T7" s="10" t="e">
        <f>Neotin!H6+Neotin!T6+Neotin!#REF!</f>
        <v>#REF!</v>
      </c>
      <c r="U7" s="10" t="e">
        <f>Neotin!I6+Neotin!U6+Neotin!#REF!</f>
        <v>#REF!</v>
      </c>
      <c r="V7" s="10" t="e">
        <f>Neotin!J6+Neotin!V6+Neotin!#REF!</f>
        <v>#REF!</v>
      </c>
      <c r="W7" s="10" t="e">
        <f>Neotin!K6+Neotin!W6+Neotin!#REF!</f>
        <v>#REF!</v>
      </c>
      <c r="X7" s="10" t="e">
        <f>Neotin!L6+Neotin!X6+Neotin!#REF!</f>
        <v>#REF!</v>
      </c>
      <c r="Y7" s="10" t="e">
        <f>Neotin!M6+Neotin!Y6+Neotin!#REF!</f>
        <v>#REF!</v>
      </c>
      <c r="Z7" s="10">
        <f>ProntoBaby!B6+ProntoBaby!N6+ProntoBaby!Z6</f>
        <v>0</v>
      </c>
      <c r="AA7" s="10">
        <f>ProntoBaby!C6+ProntoBaby!O6+ProntoBaby!AA6</f>
        <v>0</v>
      </c>
      <c r="AB7" s="10">
        <f>ProntoBaby!D6+ProntoBaby!P6+ProntoBaby!AB6</f>
        <v>2</v>
      </c>
      <c r="AC7" s="10">
        <f>ProntoBaby!E6+ProntoBaby!Q6+ProntoBaby!AC6</f>
        <v>2</v>
      </c>
      <c r="AD7" s="10">
        <f>ProntoBaby!F6+ProntoBaby!R6+ProntoBaby!AD6</f>
        <v>2</v>
      </c>
      <c r="AE7" s="10">
        <f>ProntoBaby!G6+ProntoBaby!S6+ProntoBaby!AE6</f>
        <v>0</v>
      </c>
      <c r="AF7" s="10">
        <f>ProntoBaby!H6+ProntoBaby!T6+ProntoBaby!AF6</f>
        <v>0</v>
      </c>
      <c r="AG7" s="10">
        <f>ProntoBaby!I6+ProntoBaby!U6+ProntoBaby!AG6</f>
        <v>0</v>
      </c>
      <c r="AH7" s="10">
        <f>ProntoBaby!J6+ProntoBaby!V6+ProntoBaby!AH6</f>
        <v>0</v>
      </c>
      <c r="AI7" s="10">
        <f>ProntoBaby!K6+ProntoBaby!W6+ProntoBaby!AI6</f>
        <v>2</v>
      </c>
      <c r="AJ7" s="10">
        <f>ProntoBaby!L6+ProntoBaby!X6+ProntoBaby!AJ6</f>
        <v>0</v>
      </c>
      <c r="AK7" s="10">
        <f>ProntoBaby!M6+ProntoBaby!Y6+ProntoBaby!AK6</f>
        <v>0</v>
      </c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4" t="e">
        <f t="shared" si="15"/>
        <v>#REF!</v>
      </c>
      <c r="AY7" s="14" t="e">
        <f t="shared" si="16"/>
        <v>#REF!</v>
      </c>
      <c r="AZ7" s="14" t="e">
        <f t="shared" si="17"/>
        <v>#REF!</v>
      </c>
      <c r="BA7" s="14" t="e">
        <f t="shared" si="18"/>
        <v>#REF!</v>
      </c>
      <c r="BB7" s="14" t="e">
        <f t="shared" si="19"/>
        <v>#REF!</v>
      </c>
      <c r="BC7" s="14" t="e">
        <f t="shared" si="20"/>
        <v>#REF!</v>
      </c>
      <c r="BD7" s="14" t="e">
        <f t="shared" si="21"/>
        <v>#REF!</v>
      </c>
      <c r="BE7" s="14" t="e">
        <f t="shared" si="22"/>
        <v>#REF!</v>
      </c>
      <c r="BF7" s="14" t="e">
        <f t="shared" si="23"/>
        <v>#REF!</v>
      </c>
      <c r="BG7" s="14" t="e">
        <f t="shared" si="24"/>
        <v>#REF!</v>
      </c>
      <c r="BH7" s="14" t="e">
        <f t="shared" si="25"/>
        <v>#REF!</v>
      </c>
      <c r="BI7" s="14" t="e">
        <f t="shared" si="26"/>
        <v>#REF!</v>
      </c>
      <c r="BJ7" s="14" t="e">
        <f t="shared" si="14"/>
        <v>#REF!</v>
      </c>
    </row>
    <row r="8" spans="1:63" x14ac:dyDescent="0.25">
      <c r="A8" t="s">
        <v>30</v>
      </c>
      <c r="B8" s="10">
        <f>Neomater!B7+Neomater!N7+Neomater!CT7</f>
        <v>0</v>
      </c>
      <c r="C8" s="10">
        <f>Neomater!C7+Neomater!O7+Neomater!CU7</f>
        <v>0</v>
      </c>
      <c r="D8" s="10">
        <f>Neomater!D7+Neomater!P7+Neomater!CV7</f>
        <v>0</v>
      </c>
      <c r="E8" s="10">
        <f>Neomater!E7+Neomater!Q7+Neomater!CW7</f>
        <v>0</v>
      </c>
      <c r="F8" s="10">
        <f>Neomater!F7+Neomater!R7+Neomater!CX7</f>
        <v>0</v>
      </c>
      <c r="G8" s="10">
        <f>Neomater!G7+Neomater!S7+Neomater!CY7</f>
        <v>0</v>
      </c>
      <c r="H8" s="10">
        <f>Neomater!H7+Neomater!T7+Neomater!CZ7</f>
        <v>0</v>
      </c>
      <c r="I8" s="10">
        <f>Neomater!I7+Neomater!U7+Neomater!DA7</f>
        <v>0</v>
      </c>
      <c r="J8" s="10">
        <f>Neomater!J7+Neomater!V7+Neomater!DB7</f>
        <v>0</v>
      </c>
      <c r="K8" s="10">
        <f>Neomater!K7+Neomater!W7+Neomater!DC7</f>
        <v>0</v>
      </c>
      <c r="L8" s="10">
        <f>Neomater!L7+Neomater!X7+Neomater!DD7</f>
        <v>0</v>
      </c>
      <c r="M8" s="10">
        <f>Neomater!M7+Neomater!Y7+Neomater!DE7</f>
        <v>0</v>
      </c>
      <c r="N8" s="10" t="e">
        <f>Neotin!B7+Neotin!N7+Neotin!#REF!</f>
        <v>#REF!</v>
      </c>
      <c r="O8" s="10" t="e">
        <f>Neotin!C7+Neotin!O7+Neotin!#REF!</f>
        <v>#REF!</v>
      </c>
      <c r="P8" s="10" t="e">
        <f>Neotin!D7+Neotin!P7+Neotin!#REF!</f>
        <v>#REF!</v>
      </c>
      <c r="Q8" s="10" t="e">
        <f>Neotin!E7+Neotin!Q7+Neotin!#REF!</f>
        <v>#REF!</v>
      </c>
      <c r="R8" s="10" t="e">
        <f>Neotin!F7+Neotin!R7+Neotin!#REF!</f>
        <v>#REF!</v>
      </c>
      <c r="S8" s="10" t="e">
        <f>Neotin!G7+Neotin!S7+Neotin!#REF!</f>
        <v>#REF!</v>
      </c>
      <c r="T8" s="10" t="e">
        <f>Neotin!H7+Neotin!T7+Neotin!#REF!</f>
        <v>#REF!</v>
      </c>
      <c r="U8" s="10" t="e">
        <f>Neotin!I7+Neotin!U7+Neotin!#REF!</f>
        <v>#REF!</v>
      </c>
      <c r="V8" s="10" t="e">
        <f>Neotin!J7+Neotin!V7+Neotin!#REF!</f>
        <v>#REF!</v>
      </c>
      <c r="W8" s="10" t="e">
        <f>Neotin!K7+Neotin!W7+Neotin!#REF!</f>
        <v>#REF!</v>
      </c>
      <c r="X8" s="10" t="e">
        <f>Neotin!L7+Neotin!X7+Neotin!#REF!</f>
        <v>#REF!</v>
      </c>
      <c r="Y8" s="10" t="e">
        <f>Neotin!M7+Neotin!Y7+Neotin!#REF!</f>
        <v>#REF!</v>
      </c>
      <c r="Z8" s="10">
        <f>ProntoBaby!B7+ProntoBaby!N7+ProntoBaby!Z7</f>
        <v>0</v>
      </c>
      <c r="AA8" s="10">
        <f>ProntoBaby!C7+ProntoBaby!O7+ProntoBaby!AA7</f>
        <v>0</v>
      </c>
      <c r="AB8" s="10">
        <f>ProntoBaby!D7+ProntoBaby!P7+ProntoBaby!AB7</f>
        <v>2</v>
      </c>
      <c r="AC8" s="10">
        <f>ProntoBaby!E7+ProntoBaby!Q7+ProntoBaby!AC7</f>
        <v>0</v>
      </c>
      <c r="AD8" s="10">
        <f>ProntoBaby!F7+ProntoBaby!R7+ProntoBaby!AD7</f>
        <v>0</v>
      </c>
      <c r="AE8" s="10">
        <f>ProntoBaby!G7+ProntoBaby!S7+ProntoBaby!AE7</f>
        <v>0</v>
      </c>
      <c r="AF8" s="10">
        <f>ProntoBaby!H7+ProntoBaby!T7+ProntoBaby!AF7</f>
        <v>0</v>
      </c>
      <c r="AG8" s="10">
        <f>ProntoBaby!I7+ProntoBaby!U7+ProntoBaby!AG7</f>
        <v>0</v>
      </c>
      <c r="AH8" s="10">
        <f>ProntoBaby!J7+ProntoBaby!V7+ProntoBaby!AH7</f>
        <v>0</v>
      </c>
      <c r="AI8" s="10">
        <f>ProntoBaby!K7+ProntoBaby!W7+ProntoBaby!AI7</f>
        <v>0</v>
      </c>
      <c r="AJ8" s="10">
        <f>ProntoBaby!L7+ProntoBaby!X7+ProntoBaby!AJ7</f>
        <v>0</v>
      </c>
      <c r="AK8" s="10">
        <f>ProntoBaby!M7+ProntoBaby!Y7+ProntoBaby!AK7</f>
        <v>0</v>
      </c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4" t="e">
        <f t="shared" si="15"/>
        <v>#REF!</v>
      </c>
      <c r="AY8" s="14" t="e">
        <f t="shared" si="16"/>
        <v>#REF!</v>
      </c>
      <c r="AZ8" s="14" t="e">
        <f t="shared" si="17"/>
        <v>#REF!</v>
      </c>
      <c r="BA8" s="14" t="e">
        <f t="shared" si="18"/>
        <v>#REF!</v>
      </c>
      <c r="BB8" s="14" t="e">
        <f t="shared" si="19"/>
        <v>#REF!</v>
      </c>
      <c r="BC8" s="14" t="e">
        <f t="shared" si="20"/>
        <v>#REF!</v>
      </c>
      <c r="BD8" s="14" t="e">
        <f t="shared" si="21"/>
        <v>#REF!</v>
      </c>
      <c r="BE8" s="14" t="e">
        <f t="shared" si="22"/>
        <v>#REF!</v>
      </c>
      <c r="BF8" s="14" t="e">
        <f t="shared" si="23"/>
        <v>#REF!</v>
      </c>
      <c r="BG8" s="14" t="e">
        <f t="shared" si="24"/>
        <v>#REF!</v>
      </c>
      <c r="BH8" s="14" t="e">
        <f t="shared" si="25"/>
        <v>#REF!</v>
      </c>
      <c r="BI8" s="14" t="e">
        <f t="shared" si="26"/>
        <v>#REF!</v>
      </c>
      <c r="BJ8" s="14" t="e">
        <f t="shared" si="14"/>
        <v>#REF!</v>
      </c>
    </row>
    <row r="9" spans="1:63" x14ac:dyDescent="0.25">
      <c r="A9" t="s">
        <v>24</v>
      </c>
      <c r="B9" s="10">
        <f>Neomater!B8+Neomater!N8+Neomater!CT8</f>
        <v>0</v>
      </c>
      <c r="C9" s="10">
        <f>Neomater!C8+Neomater!O8+Neomater!CU8</f>
        <v>0</v>
      </c>
      <c r="D9" s="10">
        <f>Neomater!D8+Neomater!P8+Neomater!CV8</f>
        <v>0</v>
      </c>
      <c r="E9" s="10">
        <f>Neomater!E8+Neomater!Q8+Neomater!CW8</f>
        <v>0</v>
      </c>
      <c r="F9" s="10">
        <f>Neomater!F8+Neomater!R8+Neomater!CX8</f>
        <v>0</v>
      </c>
      <c r="G9" s="10">
        <f>Neomater!G8+Neomater!S8+Neomater!CY8</f>
        <v>0</v>
      </c>
      <c r="H9" s="10">
        <f>Neomater!H8+Neomater!T8+Neomater!CZ8</f>
        <v>0</v>
      </c>
      <c r="I9" s="10">
        <f>Neomater!I8+Neomater!U8+Neomater!DA8</f>
        <v>0</v>
      </c>
      <c r="J9" s="10">
        <f>Neomater!J8+Neomater!V8+Neomater!DB8</f>
        <v>0</v>
      </c>
      <c r="K9" s="10">
        <f>Neomater!K8+Neomater!W8+Neomater!DC8</f>
        <v>0</v>
      </c>
      <c r="L9" s="10">
        <f>Neomater!L8+Neomater!X8+Neomater!DD8</f>
        <v>0</v>
      </c>
      <c r="M9" s="10">
        <f>Neomater!M8+Neomater!Y8+Neomater!DE8</f>
        <v>0</v>
      </c>
      <c r="N9" s="10" t="e">
        <f>Neotin!B8+Neotin!N8+Neotin!#REF!</f>
        <v>#REF!</v>
      </c>
      <c r="O9" s="10" t="e">
        <f>Neotin!C8+Neotin!O8+Neotin!#REF!</f>
        <v>#REF!</v>
      </c>
      <c r="P9" s="10" t="e">
        <f>Neotin!D8+Neotin!P8+Neotin!#REF!</f>
        <v>#REF!</v>
      </c>
      <c r="Q9" s="10" t="e">
        <f>Neotin!E8+Neotin!Q8+Neotin!#REF!</f>
        <v>#REF!</v>
      </c>
      <c r="R9" s="10" t="e">
        <f>Neotin!F8+Neotin!R8+Neotin!#REF!</f>
        <v>#REF!</v>
      </c>
      <c r="S9" s="10" t="e">
        <f>Neotin!G8+Neotin!S8+Neotin!#REF!</f>
        <v>#REF!</v>
      </c>
      <c r="T9" s="10" t="e">
        <f>Neotin!H8+Neotin!T8+Neotin!#REF!</f>
        <v>#REF!</v>
      </c>
      <c r="U9" s="10" t="e">
        <f>Neotin!I8+Neotin!U8+Neotin!#REF!</f>
        <v>#REF!</v>
      </c>
      <c r="V9" s="10" t="e">
        <f>Neotin!J8+Neotin!V8+Neotin!#REF!</f>
        <v>#REF!</v>
      </c>
      <c r="W9" s="10" t="e">
        <f>Neotin!K8+Neotin!W8+Neotin!#REF!</f>
        <v>#REF!</v>
      </c>
      <c r="X9" s="10" t="e">
        <f>Neotin!L8+Neotin!X8+Neotin!#REF!</f>
        <v>#REF!</v>
      </c>
      <c r="Y9" s="10" t="e">
        <f>Neotin!M8+Neotin!Y8+Neotin!#REF!</f>
        <v>#REF!</v>
      </c>
      <c r="Z9" s="10">
        <f>ProntoBaby!B8+ProntoBaby!N8+ProntoBaby!Z8</f>
        <v>0</v>
      </c>
      <c r="AA9" s="10">
        <f>ProntoBaby!C8+ProntoBaby!O8+ProntoBaby!AA8</f>
        <v>0</v>
      </c>
      <c r="AB9" s="10">
        <f>ProntoBaby!D8+ProntoBaby!P8+ProntoBaby!AB8</f>
        <v>4</v>
      </c>
      <c r="AC9" s="10">
        <f>ProntoBaby!E8+ProntoBaby!Q8+ProntoBaby!AC8</f>
        <v>2</v>
      </c>
      <c r="AD9" s="10">
        <f>ProntoBaby!F8+ProntoBaby!R8+ProntoBaby!AD8</f>
        <v>0</v>
      </c>
      <c r="AE9" s="10">
        <f>ProntoBaby!G8+ProntoBaby!S8+ProntoBaby!AE8</f>
        <v>2</v>
      </c>
      <c r="AF9" s="10">
        <f>ProntoBaby!H8+ProntoBaby!T8+ProntoBaby!AF8</f>
        <v>0</v>
      </c>
      <c r="AG9" s="10">
        <f>ProntoBaby!I8+ProntoBaby!U8+ProntoBaby!AG8</f>
        <v>0</v>
      </c>
      <c r="AH9" s="10">
        <f>ProntoBaby!J8+ProntoBaby!V8+ProntoBaby!AH8</f>
        <v>0</v>
      </c>
      <c r="AI9" s="10">
        <f>ProntoBaby!K8+ProntoBaby!W8+ProntoBaby!AI8</f>
        <v>4</v>
      </c>
      <c r="AJ9" s="10">
        <f>ProntoBaby!L8+ProntoBaby!X8+ProntoBaby!AJ8</f>
        <v>2</v>
      </c>
      <c r="AK9" s="10">
        <f>ProntoBaby!M8+ProntoBaby!Y8+ProntoBaby!AK8</f>
        <v>0</v>
      </c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4" t="e">
        <f t="shared" si="15"/>
        <v>#REF!</v>
      </c>
      <c r="AY9" s="14" t="e">
        <f t="shared" si="16"/>
        <v>#REF!</v>
      </c>
      <c r="AZ9" s="14" t="e">
        <f t="shared" si="17"/>
        <v>#REF!</v>
      </c>
      <c r="BA9" s="14" t="e">
        <f t="shared" si="18"/>
        <v>#REF!</v>
      </c>
      <c r="BB9" s="14" t="e">
        <f t="shared" si="19"/>
        <v>#REF!</v>
      </c>
      <c r="BC9" s="14" t="e">
        <f t="shared" si="20"/>
        <v>#REF!</v>
      </c>
      <c r="BD9" s="14" t="e">
        <f t="shared" si="21"/>
        <v>#REF!</v>
      </c>
      <c r="BE9" s="14" t="e">
        <f t="shared" si="22"/>
        <v>#REF!</v>
      </c>
      <c r="BF9" s="14" t="e">
        <f t="shared" si="23"/>
        <v>#REF!</v>
      </c>
      <c r="BG9" s="14" t="e">
        <f t="shared" si="24"/>
        <v>#REF!</v>
      </c>
      <c r="BH9" s="14" t="e">
        <f t="shared" si="25"/>
        <v>#REF!</v>
      </c>
      <c r="BI9" s="14" t="e">
        <f t="shared" si="26"/>
        <v>#REF!</v>
      </c>
      <c r="BJ9" s="14" t="e">
        <f t="shared" si="14"/>
        <v>#REF!</v>
      </c>
    </row>
    <row r="10" spans="1:63" x14ac:dyDescent="0.25">
      <c r="A10" t="s">
        <v>25</v>
      </c>
      <c r="B10" s="10">
        <f>Neomater!B9+Neomater!N9+Neomater!CT9</f>
        <v>0</v>
      </c>
      <c r="C10" s="10">
        <f>Neomater!C9+Neomater!O9+Neomater!CU9</f>
        <v>0</v>
      </c>
      <c r="D10" s="10">
        <f>Neomater!D9+Neomater!P9+Neomater!CV9</f>
        <v>0</v>
      </c>
      <c r="E10" s="10">
        <f>Neomater!E9+Neomater!Q9+Neomater!CW9</f>
        <v>0</v>
      </c>
      <c r="F10" s="10">
        <f>Neomater!F9+Neomater!R9+Neomater!CX9</f>
        <v>0</v>
      </c>
      <c r="G10" s="10">
        <f>Neomater!G9+Neomater!S9+Neomater!CY9</f>
        <v>0</v>
      </c>
      <c r="H10" s="10">
        <f>Neomater!H9+Neomater!T9+Neomater!CZ9</f>
        <v>0</v>
      </c>
      <c r="I10" s="10">
        <f>Neomater!I9+Neomater!U9+Neomater!DA9</f>
        <v>0</v>
      </c>
      <c r="J10" s="10">
        <f>Neomater!J9+Neomater!V9+Neomater!DB9</f>
        <v>0</v>
      </c>
      <c r="K10" s="10">
        <f>Neomater!K9+Neomater!W9+Neomater!DC9</f>
        <v>0</v>
      </c>
      <c r="L10" s="10">
        <f>Neomater!L9+Neomater!X9+Neomater!DD9</f>
        <v>0</v>
      </c>
      <c r="M10" s="10">
        <f>Neomater!M9+Neomater!Y9+Neomater!DE9</f>
        <v>0</v>
      </c>
      <c r="N10" s="10" t="e">
        <f>Neotin!B9+Neotin!N9+Neotin!#REF!</f>
        <v>#REF!</v>
      </c>
      <c r="O10" s="10" t="e">
        <f>Neotin!C9+Neotin!O9+Neotin!#REF!</f>
        <v>#REF!</v>
      </c>
      <c r="P10" s="10" t="e">
        <f>Neotin!D9+Neotin!P9+Neotin!#REF!</f>
        <v>#REF!</v>
      </c>
      <c r="Q10" s="10" t="e">
        <f>Neotin!E9+Neotin!Q9+Neotin!#REF!</f>
        <v>#REF!</v>
      </c>
      <c r="R10" s="10" t="e">
        <f>Neotin!F9+Neotin!R9+Neotin!#REF!</f>
        <v>#REF!</v>
      </c>
      <c r="S10" s="10" t="e">
        <f>Neotin!G9+Neotin!S9+Neotin!#REF!</f>
        <v>#REF!</v>
      </c>
      <c r="T10" s="10" t="e">
        <f>Neotin!H9+Neotin!T9+Neotin!#REF!</f>
        <v>#REF!</v>
      </c>
      <c r="U10" s="10" t="e">
        <f>Neotin!I9+Neotin!U9+Neotin!#REF!</f>
        <v>#REF!</v>
      </c>
      <c r="V10" s="10" t="e">
        <f>Neotin!J9+Neotin!V9+Neotin!#REF!</f>
        <v>#REF!</v>
      </c>
      <c r="W10" s="10" t="e">
        <f>Neotin!K9+Neotin!W9+Neotin!#REF!</f>
        <v>#REF!</v>
      </c>
      <c r="X10" s="10" t="e">
        <f>Neotin!L9+Neotin!X9+Neotin!#REF!</f>
        <v>#REF!</v>
      </c>
      <c r="Y10" s="10" t="e">
        <f>Neotin!M9+Neotin!Y9+Neotin!#REF!</f>
        <v>#REF!</v>
      </c>
      <c r="Z10" s="10">
        <f>ProntoBaby!B9+ProntoBaby!N9+ProntoBaby!Z9</f>
        <v>0</v>
      </c>
      <c r="AA10" s="10">
        <f>ProntoBaby!C9+ProntoBaby!O9+ProntoBaby!AA9</f>
        <v>0</v>
      </c>
      <c r="AB10" s="10">
        <f>ProntoBaby!D9+ProntoBaby!P9+ProntoBaby!AB9</f>
        <v>0</v>
      </c>
      <c r="AC10" s="10">
        <f>ProntoBaby!E9+ProntoBaby!Q9+ProntoBaby!AC9</f>
        <v>0</v>
      </c>
      <c r="AD10" s="10">
        <f>ProntoBaby!F9+ProntoBaby!R9+ProntoBaby!AD9</f>
        <v>0</v>
      </c>
      <c r="AE10" s="10">
        <f>ProntoBaby!G9+ProntoBaby!S9+ProntoBaby!AE9</f>
        <v>0</v>
      </c>
      <c r="AF10" s="10">
        <f>ProntoBaby!H9+ProntoBaby!T9+ProntoBaby!AF9</f>
        <v>0</v>
      </c>
      <c r="AG10" s="10">
        <f>ProntoBaby!I9+ProntoBaby!U9+ProntoBaby!AG9</f>
        <v>0</v>
      </c>
      <c r="AH10" s="10">
        <f>ProntoBaby!J9+ProntoBaby!V9+ProntoBaby!AH9</f>
        <v>0</v>
      </c>
      <c r="AI10" s="10">
        <f>ProntoBaby!K9+ProntoBaby!W9+ProntoBaby!AI9</f>
        <v>0</v>
      </c>
      <c r="AJ10" s="10">
        <f>ProntoBaby!L9+ProntoBaby!X9+ProntoBaby!AJ9</f>
        <v>0</v>
      </c>
      <c r="AK10" s="10">
        <f>ProntoBaby!M9+ProntoBaby!Y9+ProntoBaby!AK9</f>
        <v>0</v>
      </c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4" t="e">
        <f t="shared" si="15"/>
        <v>#REF!</v>
      </c>
      <c r="AY10" s="14" t="e">
        <f t="shared" si="16"/>
        <v>#REF!</v>
      </c>
      <c r="AZ10" s="14" t="e">
        <f t="shared" si="17"/>
        <v>#REF!</v>
      </c>
      <c r="BA10" s="14" t="e">
        <f t="shared" si="18"/>
        <v>#REF!</v>
      </c>
      <c r="BB10" s="14" t="e">
        <f t="shared" si="19"/>
        <v>#REF!</v>
      </c>
      <c r="BC10" s="14" t="e">
        <f t="shared" si="20"/>
        <v>#REF!</v>
      </c>
      <c r="BD10" s="14" t="e">
        <f t="shared" si="21"/>
        <v>#REF!</v>
      </c>
      <c r="BE10" s="14" t="e">
        <f t="shared" si="22"/>
        <v>#REF!</v>
      </c>
      <c r="BF10" s="14" t="e">
        <f t="shared" si="23"/>
        <v>#REF!</v>
      </c>
      <c r="BG10" s="14" t="e">
        <f t="shared" si="24"/>
        <v>#REF!</v>
      </c>
      <c r="BH10" s="14" t="e">
        <f t="shared" si="25"/>
        <v>#REF!</v>
      </c>
      <c r="BI10" s="14" t="e">
        <f t="shared" si="26"/>
        <v>#REF!</v>
      </c>
      <c r="BJ10" s="14" t="e">
        <f t="shared" si="14"/>
        <v>#REF!</v>
      </c>
    </row>
    <row r="11" spans="1:63" x14ac:dyDescent="0.25">
      <c r="A11" t="s">
        <v>26</v>
      </c>
      <c r="B11" s="10">
        <f>Neomater!B10+Neomater!N10+Neomater!CT10</f>
        <v>0</v>
      </c>
      <c r="C11" s="10">
        <f>Neomater!C10+Neomater!O10+Neomater!CU10</f>
        <v>0</v>
      </c>
      <c r="D11" s="10">
        <f>Neomater!D10+Neomater!P10+Neomater!CV10</f>
        <v>0</v>
      </c>
      <c r="E11" s="10">
        <f>Neomater!E10+Neomater!Q10+Neomater!CW10</f>
        <v>0</v>
      </c>
      <c r="F11" s="10">
        <f>Neomater!F10+Neomater!R10+Neomater!CX10</f>
        <v>0</v>
      </c>
      <c r="G11" s="10">
        <f>Neomater!G10+Neomater!S10+Neomater!CY10</f>
        <v>0</v>
      </c>
      <c r="H11" s="10">
        <f>Neomater!H10+Neomater!T10+Neomater!CZ10</f>
        <v>0</v>
      </c>
      <c r="I11" s="10">
        <f>Neomater!I10+Neomater!U10+Neomater!DA10</f>
        <v>0</v>
      </c>
      <c r="J11" s="10">
        <f>Neomater!J10+Neomater!V10+Neomater!DB10</f>
        <v>0</v>
      </c>
      <c r="K11" s="10">
        <f>Neomater!K10+Neomater!W10+Neomater!DC10</f>
        <v>0</v>
      </c>
      <c r="L11" s="10">
        <f>Neomater!L10+Neomater!X10+Neomater!DD10</f>
        <v>0</v>
      </c>
      <c r="M11" s="10">
        <f>Neomater!M10+Neomater!Y10+Neomater!DE10</f>
        <v>0</v>
      </c>
      <c r="N11" s="10" t="e">
        <f>Neotin!B10+Neotin!N10+Neotin!#REF!</f>
        <v>#REF!</v>
      </c>
      <c r="O11" s="10" t="e">
        <f>Neotin!C10+Neotin!O10+Neotin!#REF!</f>
        <v>#REF!</v>
      </c>
      <c r="P11" s="10" t="e">
        <f>Neotin!D10+Neotin!P10+Neotin!#REF!</f>
        <v>#REF!</v>
      </c>
      <c r="Q11" s="10" t="e">
        <f>Neotin!E10+Neotin!Q10+Neotin!#REF!</f>
        <v>#REF!</v>
      </c>
      <c r="R11" s="10" t="e">
        <f>Neotin!F10+Neotin!R10+Neotin!#REF!</f>
        <v>#REF!</v>
      </c>
      <c r="S11" s="10" t="e">
        <f>Neotin!G10+Neotin!S10+Neotin!#REF!</f>
        <v>#REF!</v>
      </c>
      <c r="T11" s="10" t="e">
        <f>Neotin!H10+Neotin!T10+Neotin!#REF!</f>
        <v>#REF!</v>
      </c>
      <c r="U11" s="10" t="e">
        <f>Neotin!I10+Neotin!U10+Neotin!#REF!</f>
        <v>#REF!</v>
      </c>
      <c r="V11" s="10" t="e">
        <f>Neotin!J10+Neotin!V10+Neotin!#REF!</f>
        <v>#REF!</v>
      </c>
      <c r="W11" s="10" t="e">
        <f>Neotin!K10+Neotin!W10+Neotin!#REF!</f>
        <v>#REF!</v>
      </c>
      <c r="X11" s="10" t="e">
        <f>Neotin!L10+Neotin!X10+Neotin!#REF!</f>
        <v>#REF!</v>
      </c>
      <c r="Y11" s="10" t="e">
        <f>Neotin!M10+Neotin!Y10+Neotin!#REF!</f>
        <v>#REF!</v>
      </c>
      <c r="Z11" s="10">
        <f>ProntoBaby!B10+ProntoBaby!N10+ProntoBaby!Z10</f>
        <v>0</v>
      </c>
      <c r="AA11" s="10">
        <f>ProntoBaby!C10+ProntoBaby!O10+ProntoBaby!AA10</f>
        <v>0</v>
      </c>
      <c r="AB11" s="10">
        <f>ProntoBaby!D10+ProntoBaby!P10+ProntoBaby!AB10</f>
        <v>0</v>
      </c>
      <c r="AC11" s="10">
        <f>ProntoBaby!E10+ProntoBaby!Q10+ProntoBaby!AC10</f>
        <v>0</v>
      </c>
      <c r="AD11" s="10">
        <f>ProntoBaby!F10+ProntoBaby!R10+ProntoBaby!AD10</f>
        <v>0</v>
      </c>
      <c r="AE11" s="10">
        <f>ProntoBaby!G10+ProntoBaby!S10+ProntoBaby!AE10</f>
        <v>0</v>
      </c>
      <c r="AF11" s="10">
        <f>ProntoBaby!H10+ProntoBaby!T10+ProntoBaby!AF10</f>
        <v>0</v>
      </c>
      <c r="AG11" s="10">
        <f>ProntoBaby!I10+ProntoBaby!U10+ProntoBaby!AG10</f>
        <v>0</v>
      </c>
      <c r="AH11" s="10">
        <f>ProntoBaby!J10+ProntoBaby!V10+ProntoBaby!AH10</f>
        <v>0</v>
      </c>
      <c r="AI11" s="10">
        <f>ProntoBaby!K10+ProntoBaby!W10+ProntoBaby!AI10</f>
        <v>0</v>
      </c>
      <c r="AJ11" s="10">
        <f>ProntoBaby!L10+ProntoBaby!X10+ProntoBaby!AJ10</f>
        <v>0</v>
      </c>
      <c r="AK11" s="10">
        <f>ProntoBaby!M10+ProntoBaby!Y10+ProntoBaby!AK10</f>
        <v>0</v>
      </c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4" t="e">
        <f t="shared" si="15"/>
        <v>#REF!</v>
      </c>
      <c r="AY11" s="14" t="e">
        <f t="shared" si="16"/>
        <v>#REF!</v>
      </c>
      <c r="AZ11" s="14" t="e">
        <f t="shared" si="17"/>
        <v>#REF!</v>
      </c>
      <c r="BA11" s="14" t="e">
        <f t="shared" si="18"/>
        <v>#REF!</v>
      </c>
      <c r="BB11" s="14" t="e">
        <f t="shared" si="19"/>
        <v>#REF!</v>
      </c>
      <c r="BC11" s="14" t="e">
        <f t="shared" si="20"/>
        <v>#REF!</v>
      </c>
      <c r="BD11" s="14" t="e">
        <f t="shared" si="21"/>
        <v>#REF!</v>
      </c>
      <c r="BE11" s="14" t="e">
        <f t="shared" si="22"/>
        <v>#REF!</v>
      </c>
      <c r="BF11" s="14" t="e">
        <f t="shared" si="23"/>
        <v>#REF!</v>
      </c>
      <c r="BG11" s="14" t="e">
        <f t="shared" si="24"/>
        <v>#REF!</v>
      </c>
      <c r="BH11" s="14" t="e">
        <f t="shared" si="25"/>
        <v>#REF!</v>
      </c>
      <c r="BI11" s="14" t="e">
        <f t="shared" si="26"/>
        <v>#REF!</v>
      </c>
      <c r="BJ11" s="14" t="e">
        <f t="shared" si="14"/>
        <v>#REF!</v>
      </c>
    </row>
    <row r="12" spans="1:63" x14ac:dyDescent="0.25">
      <c r="A12" t="s">
        <v>27</v>
      </c>
      <c r="B12" s="10">
        <f>Neomater!B11+Neomater!N11+Neomater!CT11</f>
        <v>2</v>
      </c>
      <c r="C12" s="10">
        <f>Neomater!C11+Neomater!O11+Neomater!CU11</f>
        <v>0</v>
      </c>
      <c r="D12" s="10">
        <f>Neomater!D11+Neomater!P11+Neomater!CV11</f>
        <v>0</v>
      </c>
      <c r="E12" s="10">
        <f>Neomater!E11+Neomater!Q11+Neomater!CW11</f>
        <v>0</v>
      </c>
      <c r="F12" s="10">
        <f>Neomater!F11+Neomater!R11+Neomater!CX11</f>
        <v>2</v>
      </c>
      <c r="G12" s="10">
        <f>Neomater!G11+Neomater!S11+Neomater!CY11</f>
        <v>8</v>
      </c>
      <c r="H12" s="10">
        <f>Neomater!H11+Neomater!T11+Neomater!CZ11</f>
        <v>0</v>
      </c>
      <c r="I12" s="10">
        <f>Neomater!I11+Neomater!U11+Neomater!DA11</f>
        <v>10</v>
      </c>
      <c r="J12" s="10">
        <f>Neomater!J11+Neomater!V11+Neomater!DB11</f>
        <v>0</v>
      </c>
      <c r="K12" s="10">
        <f>Neomater!K11+Neomater!W11+Neomater!DC11</f>
        <v>0</v>
      </c>
      <c r="L12" s="10">
        <f>Neomater!L11+Neomater!X11+Neomater!DD11</f>
        <v>4</v>
      </c>
      <c r="M12" s="10">
        <f>Neomater!M11+Neomater!Y11+Neomater!DE11</f>
        <v>0</v>
      </c>
      <c r="N12" s="10" t="e">
        <f>Neotin!B11+Neotin!N11+Neotin!#REF!</f>
        <v>#REF!</v>
      </c>
      <c r="O12" s="10" t="e">
        <f>Neotin!C11+Neotin!O11+Neotin!#REF!</f>
        <v>#REF!</v>
      </c>
      <c r="P12" s="10" t="e">
        <f>Neotin!D11+Neotin!P11+Neotin!#REF!</f>
        <v>#REF!</v>
      </c>
      <c r="Q12" s="10" t="e">
        <f>Neotin!E11+Neotin!Q11+Neotin!#REF!</f>
        <v>#REF!</v>
      </c>
      <c r="R12" s="10" t="e">
        <f>Neotin!F11+Neotin!R11+Neotin!#REF!</f>
        <v>#REF!</v>
      </c>
      <c r="S12" s="10" t="e">
        <f>Neotin!G11+Neotin!S11+Neotin!#REF!</f>
        <v>#REF!</v>
      </c>
      <c r="T12" s="10" t="e">
        <f>Neotin!H11+Neotin!T11+Neotin!#REF!</f>
        <v>#REF!</v>
      </c>
      <c r="U12" s="10" t="e">
        <f>Neotin!I11+Neotin!U11+Neotin!#REF!</f>
        <v>#REF!</v>
      </c>
      <c r="V12" s="10" t="e">
        <f>Neotin!J11+Neotin!V11+Neotin!#REF!</f>
        <v>#REF!</v>
      </c>
      <c r="W12" s="10" t="e">
        <f>Neotin!K11+Neotin!W11+Neotin!#REF!</f>
        <v>#REF!</v>
      </c>
      <c r="X12" s="10" t="e">
        <f>Neotin!L11+Neotin!X11+Neotin!#REF!</f>
        <v>#REF!</v>
      </c>
      <c r="Y12" s="10" t="e">
        <f>Neotin!M11+Neotin!Y11+Neotin!#REF!</f>
        <v>#REF!</v>
      </c>
      <c r="Z12" s="10">
        <f>ProntoBaby!B11+ProntoBaby!N11+ProntoBaby!Z11</f>
        <v>0</v>
      </c>
      <c r="AA12" s="10">
        <f>ProntoBaby!C11+ProntoBaby!O11+ProntoBaby!AA11</f>
        <v>0</v>
      </c>
      <c r="AB12" s="10">
        <f>ProntoBaby!D11+ProntoBaby!P11+ProntoBaby!AB11</f>
        <v>0</v>
      </c>
      <c r="AC12" s="10">
        <f>ProntoBaby!E11+ProntoBaby!Q11+ProntoBaby!AC11</f>
        <v>0</v>
      </c>
      <c r="AD12" s="10">
        <f>ProntoBaby!F11+ProntoBaby!R11+ProntoBaby!AD11</f>
        <v>0</v>
      </c>
      <c r="AE12" s="10">
        <f>ProntoBaby!G11+ProntoBaby!S11+ProntoBaby!AE11</f>
        <v>0</v>
      </c>
      <c r="AF12" s="10">
        <f>ProntoBaby!H11+ProntoBaby!T11+ProntoBaby!AF11</f>
        <v>0</v>
      </c>
      <c r="AG12" s="10">
        <f>ProntoBaby!I11+ProntoBaby!U11+ProntoBaby!AG11</f>
        <v>0</v>
      </c>
      <c r="AH12" s="10">
        <f>ProntoBaby!J11+ProntoBaby!V11+ProntoBaby!AH11</f>
        <v>0</v>
      </c>
      <c r="AI12" s="10">
        <f>ProntoBaby!K11+ProntoBaby!W11+ProntoBaby!AI11</f>
        <v>0</v>
      </c>
      <c r="AJ12" s="10">
        <f>ProntoBaby!L11+ProntoBaby!X11+ProntoBaby!AJ11</f>
        <v>0</v>
      </c>
      <c r="AK12" s="10">
        <f>ProntoBaby!M11+ProntoBaby!Y11+ProntoBaby!AK11</f>
        <v>0</v>
      </c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4" t="e">
        <f t="shared" si="15"/>
        <v>#REF!</v>
      </c>
      <c r="AY12" s="14" t="e">
        <f t="shared" si="16"/>
        <v>#REF!</v>
      </c>
      <c r="AZ12" s="14" t="e">
        <f t="shared" si="17"/>
        <v>#REF!</v>
      </c>
      <c r="BA12" s="14" t="e">
        <f t="shared" si="18"/>
        <v>#REF!</v>
      </c>
      <c r="BB12" s="14" t="e">
        <f t="shared" si="19"/>
        <v>#REF!</v>
      </c>
      <c r="BC12" s="14" t="e">
        <f t="shared" si="20"/>
        <v>#REF!</v>
      </c>
      <c r="BD12" s="14" t="e">
        <f t="shared" si="21"/>
        <v>#REF!</v>
      </c>
      <c r="BE12" s="14" t="e">
        <f t="shared" si="22"/>
        <v>#REF!</v>
      </c>
      <c r="BF12" s="14" t="e">
        <f t="shared" si="23"/>
        <v>#REF!</v>
      </c>
      <c r="BG12" s="14" t="e">
        <f t="shared" si="24"/>
        <v>#REF!</v>
      </c>
      <c r="BH12" s="14" t="e">
        <f t="shared" si="25"/>
        <v>#REF!</v>
      </c>
      <c r="BI12" s="14" t="e">
        <f t="shared" si="26"/>
        <v>#REF!</v>
      </c>
      <c r="BJ12" s="14" t="e">
        <f t="shared" si="14"/>
        <v>#REF!</v>
      </c>
    </row>
    <row r="13" spans="1:63" x14ac:dyDescent="0.25">
      <c r="A13" t="s">
        <v>31</v>
      </c>
      <c r="B13" s="10">
        <f>Neomater!B12+Neomater!N12+Neomater!CT12</f>
        <v>4</v>
      </c>
      <c r="C13" s="10">
        <f>Neomater!C12+Neomater!O12+Neomater!CU12</f>
        <v>0</v>
      </c>
      <c r="D13" s="10">
        <f>Neomater!D12+Neomater!P12+Neomater!CV12</f>
        <v>0</v>
      </c>
      <c r="E13" s="10">
        <f>Neomater!E12+Neomater!Q12+Neomater!CW12</f>
        <v>0</v>
      </c>
      <c r="F13" s="10">
        <f>Neomater!F12+Neomater!R12+Neomater!CX12</f>
        <v>2</v>
      </c>
      <c r="G13" s="10">
        <f>Neomater!G12+Neomater!S12+Neomater!CY12</f>
        <v>2</v>
      </c>
      <c r="H13" s="10">
        <f>Neomater!H12+Neomater!T12+Neomater!CZ12</f>
        <v>0</v>
      </c>
      <c r="I13" s="10">
        <f>Neomater!I12+Neomater!U12+Neomater!DA12</f>
        <v>18</v>
      </c>
      <c r="J13" s="10">
        <f>Neomater!J12+Neomater!V12+Neomater!DB12</f>
        <v>0</v>
      </c>
      <c r="K13" s="10">
        <f>Neomater!K12+Neomater!W12+Neomater!DC12</f>
        <v>0</v>
      </c>
      <c r="L13" s="10">
        <f>Neomater!L12+Neomater!X12+Neomater!DD12</f>
        <v>0</v>
      </c>
      <c r="M13" s="10">
        <f>Neomater!M12+Neomater!Y12+Neomater!DE12</f>
        <v>4</v>
      </c>
      <c r="N13" s="10" t="e">
        <f>Neotin!B12+Neotin!N12+Neotin!#REF!</f>
        <v>#REF!</v>
      </c>
      <c r="O13" s="10" t="e">
        <f>Neotin!C12+Neotin!O12+Neotin!#REF!</f>
        <v>#REF!</v>
      </c>
      <c r="P13" s="10" t="e">
        <f>Neotin!D12+Neotin!P12+Neotin!#REF!</f>
        <v>#REF!</v>
      </c>
      <c r="Q13" s="10" t="e">
        <f>Neotin!E12+Neotin!Q12+Neotin!#REF!</f>
        <v>#REF!</v>
      </c>
      <c r="R13" s="10" t="e">
        <f>Neotin!F12+Neotin!R12+Neotin!#REF!</f>
        <v>#REF!</v>
      </c>
      <c r="S13" s="10" t="e">
        <f>Neotin!G12+Neotin!S12+Neotin!#REF!</f>
        <v>#REF!</v>
      </c>
      <c r="T13" s="10" t="e">
        <f>Neotin!H12+Neotin!T12+Neotin!#REF!</f>
        <v>#REF!</v>
      </c>
      <c r="U13" s="10" t="e">
        <f>Neotin!I12+Neotin!U12+Neotin!#REF!</f>
        <v>#REF!</v>
      </c>
      <c r="V13" s="10" t="e">
        <f>Neotin!J12+Neotin!V12+Neotin!#REF!</f>
        <v>#REF!</v>
      </c>
      <c r="W13" s="10" t="e">
        <f>Neotin!K12+Neotin!W12+Neotin!#REF!</f>
        <v>#REF!</v>
      </c>
      <c r="X13" s="10" t="e">
        <f>Neotin!L12+Neotin!X12+Neotin!#REF!</f>
        <v>#REF!</v>
      </c>
      <c r="Y13" s="10" t="e">
        <f>Neotin!M12+Neotin!Y12+Neotin!#REF!</f>
        <v>#REF!</v>
      </c>
      <c r="Z13" s="10">
        <f>ProntoBaby!B12+ProntoBaby!N12+ProntoBaby!Z12</f>
        <v>0</v>
      </c>
      <c r="AA13" s="10">
        <f>ProntoBaby!C12+ProntoBaby!O12+ProntoBaby!AA12</f>
        <v>0</v>
      </c>
      <c r="AB13" s="10">
        <f>ProntoBaby!D12+ProntoBaby!P12+ProntoBaby!AB12</f>
        <v>0</v>
      </c>
      <c r="AC13" s="10">
        <f>ProntoBaby!E12+ProntoBaby!Q12+ProntoBaby!AC12</f>
        <v>0</v>
      </c>
      <c r="AD13" s="10">
        <f>ProntoBaby!F12+ProntoBaby!R12+ProntoBaby!AD12</f>
        <v>0</v>
      </c>
      <c r="AE13" s="10">
        <f>ProntoBaby!G12+ProntoBaby!S12+ProntoBaby!AE12</f>
        <v>0</v>
      </c>
      <c r="AF13" s="10">
        <f>ProntoBaby!H12+ProntoBaby!T12+ProntoBaby!AF12</f>
        <v>0</v>
      </c>
      <c r="AG13" s="10">
        <f>ProntoBaby!I12+ProntoBaby!U12+ProntoBaby!AG12</f>
        <v>0</v>
      </c>
      <c r="AH13" s="10">
        <f>ProntoBaby!J12+ProntoBaby!V12+ProntoBaby!AH12</f>
        <v>0</v>
      </c>
      <c r="AI13" s="10">
        <f>ProntoBaby!K12+ProntoBaby!W12+ProntoBaby!AI12</f>
        <v>0</v>
      </c>
      <c r="AJ13" s="10">
        <f>ProntoBaby!L12+ProntoBaby!X12+ProntoBaby!AJ12</f>
        <v>0</v>
      </c>
      <c r="AK13" s="10">
        <f>ProntoBaby!M12+ProntoBaby!Y12+ProntoBaby!AK12</f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4" t="e">
        <f t="shared" si="15"/>
        <v>#REF!</v>
      </c>
      <c r="AY13" s="14" t="e">
        <f t="shared" si="16"/>
        <v>#REF!</v>
      </c>
      <c r="AZ13" s="14" t="e">
        <f t="shared" si="17"/>
        <v>#REF!</v>
      </c>
      <c r="BA13" s="14" t="e">
        <f t="shared" si="18"/>
        <v>#REF!</v>
      </c>
      <c r="BB13" s="14" t="e">
        <f t="shared" si="19"/>
        <v>#REF!</v>
      </c>
      <c r="BC13" s="14" t="e">
        <f t="shared" si="20"/>
        <v>#REF!</v>
      </c>
      <c r="BD13" s="14" t="e">
        <f t="shared" si="21"/>
        <v>#REF!</v>
      </c>
      <c r="BE13" s="14" t="e">
        <f t="shared" si="22"/>
        <v>#REF!</v>
      </c>
      <c r="BF13" s="14" t="e">
        <f t="shared" si="23"/>
        <v>#REF!</v>
      </c>
      <c r="BG13" s="14" t="e">
        <f t="shared" si="24"/>
        <v>#REF!</v>
      </c>
      <c r="BH13" s="14" t="e">
        <f t="shared" si="25"/>
        <v>#REF!</v>
      </c>
      <c r="BI13" s="14" t="e">
        <f t="shared" si="26"/>
        <v>#REF!</v>
      </c>
      <c r="BJ13" s="14" t="e">
        <f t="shared" si="14"/>
        <v>#REF!</v>
      </c>
    </row>
    <row r="14" spans="1:63" x14ac:dyDescent="0.25">
      <c r="A14" t="s">
        <v>32</v>
      </c>
      <c r="B14" s="10">
        <f>Neomater!B13+Neomater!N13+Neomater!CT13</f>
        <v>0</v>
      </c>
      <c r="C14" s="10">
        <f>Neomater!C13+Neomater!O13+Neomater!CU13</f>
        <v>0</v>
      </c>
      <c r="D14" s="10">
        <f>Neomater!D13+Neomater!P13+Neomater!CV13</f>
        <v>0</v>
      </c>
      <c r="E14" s="10">
        <f>Neomater!E13+Neomater!Q13+Neomater!CW13</f>
        <v>0</v>
      </c>
      <c r="F14" s="10">
        <f>Neomater!F13+Neomater!R13+Neomater!CX13</f>
        <v>0</v>
      </c>
      <c r="G14" s="10">
        <f>Neomater!G13+Neomater!S13+Neomater!CY13</f>
        <v>2</v>
      </c>
      <c r="H14" s="10">
        <f>Neomater!H13+Neomater!T13+Neomater!CZ13</f>
        <v>0</v>
      </c>
      <c r="I14" s="10">
        <f>Neomater!I13+Neomater!U13+Neomater!DA13</f>
        <v>0</v>
      </c>
      <c r="J14" s="10">
        <f>Neomater!J13+Neomater!V13+Neomater!DB13</f>
        <v>0</v>
      </c>
      <c r="K14" s="10">
        <f>Neomater!K13+Neomater!W13+Neomater!DC13</f>
        <v>0</v>
      </c>
      <c r="L14" s="10">
        <f>Neomater!L13+Neomater!X13+Neomater!DD13</f>
        <v>0</v>
      </c>
      <c r="M14" s="10">
        <f>Neomater!M13+Neomater!Y13+Neomater!DE13</f>
        <v>0</v>
      </c>
      <c r="N14" s="10" t="e">
        <f>Neotin!B13+Neotin!N13+Neotin!#REF!</f>
        <v>#REF!</v>
      </c>
      <c r="O14" s="10" t="e">
        <f>Neotin!C13+Neotin!O13+Neotin!#REF!</f>
        <v>#REF!</v>
      </c>
      <c r="P14" s="10" t="e">
        <f>Neotin!D13+Neotin!P13+Neotin!#REF!</f>
        <v>#REF!</v>
      </c>
      <c r="Q14" s="10" t="e">
        <f>Neotin!E13+Neotin!Q13+Neotin!#REF!</f>
        <v>#REF!</v>
      </c>
      <c r="R14" s="10" t="e">
        <f>Neotin!F13+Neotin!R13+Neotin!#REF!</f>
        <v>#REF!</v>
      </c>
      <c r="S14" s="10" t="e">
        <f>Neotin!G13+Neotin!S13+Neotin!#REF!</f>
        <v>#REF!</v>
      </c>
      <c r="T14" s="10" t="e">
        <f>Neotin!H13+Neotin!T13+Neotin!#REF!</f>
        <v>#REF!</v>
      </c>
      <c r="U14" s="10" t="e">
        <f>Neotin!I13+Neotin!U13+Neotin!#REF!</f>
        <v>#REF!</v>
      </c>
      <c r="V14" s="10" t="e">
        <f>Neotin!J13+Neotin!V13+Neotin!#REF!</f>
        <v>#REF!</v>
      </c>
      <c r="W14" s="10" t="e">
        <f>Neotin!K13+Neotin!W13+Neotin!#REF!</f>
        <v>#REF!</v>
      </c>
      <c r="X14" s="10" t="e">
        <f>Neotin!L13+Neotin!X13+Neotin!#REF!</f>
        <v>#REF!</v>
      </c>
      <c r="Y14" s="10" t="e">
        <f>Neotin!M13+Neotin!Y13+Neotin!#REF!</f>
        <v>#REF!</v>
      </c>
      <c r="Z14" s="10">
        <f>ProntoBaby!B13+ProntoBaby!N13+ProntoBaby!Z13</f>
        <v>0</v>
      </c>
      <c r="AA14" s="10">
        <f>ProntoBaby!C13+ProntoBaby!O13+ProntoBaby!AA13</f>
        <v>0</v>
      </c>
      <c r="AB14" s="10">
        <f>ProntoBaby!D13+ProntoBaby!P13+ProntoBaby!AB13</f>
        <v>0</v>
      </c>
      <c r="AC14" s="10">
        <f>ProntoBaby!E13+ProntoBaby!Q13+ProntoBaby!AC13</f>
        <v>0</v>
      </c>
      <c r="AD14" s="10">
        <f>ProntoBaby!F13+ProntoBaby!R13+ProntoBaby!AD13</f>
        <v>0</v>
      </c>
      <c r="AE14" s="10">
        <f>ProntoBaby!G13+ProntoBaby!S13+ProntoBaby!AE13</f>
        <v>0</v>
      </c>
      <c r="AF14" s="10">
        <f>ProntoBaby!H13+ProntoBaby!T13+ProntoBaby!AF13</f>
        <v>0</v>
      </c>
      <c r="AG14" s="10">
        <f>ProntoBaby!I13+ProntoBaby!U13+ProntoBaby!AG13</f>
        <v>0</v>
      </c>
      <c r="AH14" s="10">
        <f>ProntoBaby!J13+ProntoBaby!V13+ProntoBaby!AH13</f>
        <v>0</v>
      </c>
      <c r="AI14" s="10">
        <f>ProntoBaby!K13+ProntoBaby!W13+ProntoBaby!AI13</f>
        <v>0</v>
      </c>
      <c r="AJ14" s="10">
        <f>ProntoBaby!L13+ProntoBaby!X13+ProntoBaby!AJ13</f>
        <v>0</v>
      </c>
      <c r="AK14" s="10">
        <f>ProntoBaby!M13+ProntoBaby!Y13+ProntoBaby!AK13</f>
        <v>0</v>
      </c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4" t="e">
        <f t="shared" si="15"/>
        <v>#REF!</v>
      </c>
      <c r="AY14" s="14" t="e">
        <f t="shared" si="16"/>
        <v>#REF!</v>
      </c>
      <c r="AZ14" s="14" t="e">
        <f t="shared" si="17"/>
        <v>#REF!</v>
      </c>
      <c r="BA14" s="14" t="e">
        <f t="shared" si="18"/>
        <v>#REF!</v>
      </c>
      <c r="BB14" s="14" t="e">
        <f t="shared" si="19"/>
        <v>#REF!</v>
      </c>
      <c r="BC14" s="14" t="e">
        <f t="shared" si="20"/>
        <v>#REF!</v>
      </c>
      <c r="BD14" s="14" t="e">
        <f t="shared" si="21"/>
        <v>#REF!</v>
      </c>
      <c r="BE14" s="14" t="e">
        <f t="shared" si="22"/>
        <v>#REF!</v>
      </c>
      <c r="BF14" s="14" t="e">
        <f t="shared" si="23"/>
        <v>#REF!</v>
      </c>
      <c r="BG14" s="14" t="e">
        <f t="shared" si="24"/>
        <v>#REF!</v>
      </c>
      <c r="BH14" s="14" t="e">
        <f t="shared" si="25"/>
        <v>#REF!</v>
      </c>
      <c r="BI14" s="14" t="e">
        <f t="shared" si="26"/>
        <v>#REF!</v>
      </c>
      <c r="BJ14" s="14" t="e">
        <f t="shared" si="14"/>
        <v>#REF!</v>
      </c>
    </row>
    <row r="15" spans="1:63" x14ac:dyDescent="0.25">
      <c r="A15" t="s">
        <v>28</v>
      </c>
      <c r="B15" s="10">
        <f>Neomater!B14+Neomater!N14+Neomater!CT14</f>
        <v>0</v>
      </c>
      <c r="C15" s="10">
        <f>Neomater!C14+Neomater!O14+Neomater!CU14</f>
        <v>0</v>
      </c>
      <c r="D15" s="10">
        <f>Neomater!D14+Neomater!P14+Neomater!CV14</f>
        <v>0</v>
      </c>
      <c r="E15" s="10">
        <f>Neomater!E14+Neomater!Q14+Neomater!CW14</f>
        <v>0</v>
      </c>
      <c r="F15" s="10">
        <f>Neomater!F14+Neomater!R14+Neomater!CX14</f>
        <v>0</v>
      </c>
      <c r="G15" s="10">
        <f>Neomater!G14+Neomater!S14+Neomater!CY14</f>
        <v>0</v>
      </c>
      <c r="H15" s="10">
        <f>Neomater!H14+Neomater!T14+Neomater!CZ14</f>
        <v>0</v>
      </c>
      <c r="I15" s="10">
        <f>Neomater!I14+Neomater!U14+Neomater!DA14</f>
        <v>0</v>
      </c>
      <c r="J15" s="10">
        <f>Neomater!J14+Neomater!V14+Neomater!DB14</f>
        <v>0</v>
      </c>
      <c r="K15" s="10">
        <f>Neomater!K14+Neomater!W14+Neomater!DC14</f>
        <v>0</v>
      </c>
      <c r="L15" s="10">
        <f>Neomater!L14+Neomater!X14+Neomater!DD14</f>
        <v>0</v>
      </c>
      <c r="M15" s="10">
        <f>Neomater!M14+Neomater!Y14+Neomater!DE14</f>
        <v>0</v>
      </c>
      <c r="N15" s="10" t="e">
        <f>Neotin!B14+Neotin!N14+Neotin!#REF!</f>
        <v>#REF!</v>
      </c>
      <c r="O15" s="10" t="e">
        <f>Neotin!C14+Neotin!O14+Neotin!#REF!</f>
        <v>#REF!</v>
      </c>
      <c r="P15" s="10" t="e">
        <f>Neotin!D14+Neotin!P14+Neotin!#REF!</f>
        <v>#REF!</v>
      </c>
      <c r="Q15" s="10" t="e">
        <f>Neotin!E14+Neotin!Q14+Neotin!#REF!</f>
        <v>#REF!</v>
      </c>
      <c r="R15" s="10" t="e">
        <f>Neotin!F14+Neotin!R14+Neotin!#REF!</f>
        <v>#REF!</v>
      </c>
      <c r="S15" s="10" t="e">
        <f>Neotin!G14+Neotin!S14+Neotin!#REF!</f>
        <v>#REF!</v>
      </c>
      <c r="T15" s="10" t="e">
        <f>Neotin!H14+Neotin!T14+Neotin!#REF!</f>
        <v>#REF!</v>
      </c>
      <c r="U15" s="10" t="e">
        <f>Neotin!I14+Neotin!U14+Neotin!#REF!</f>
        <v>#REF!</v>
      </c>
      <c r="V15" s="10" t="e">
        <f>Neotin!J14+Neotin!V14+Neotin!#REF!</f>
        <v>#REF!</v>
      </c>
      <c r="W15" s="10" t="e">
        <f>Neotin!K14+Neotin!W14+Neotin!#REF!</f>
        <v>#REF!</v>
      </c>
      <c r="X15" s="10" t="e">
        <f>Neotin!L14+Neotin!X14+Neotin!#REF!</f>
        <v>#REF!</v>
      </c>
      <c r="Y15" s="10" t="e">
        <f>Neotin!M14+Neotin!Y14+Neotin!#REF!</f>
        <v>#REF!</v>
      </c>
      <c r="Z15" s="10">
        <f>ProntoBaby!B14+ProntoBaby!N14+ProntoBaby!Z14</f>
        <v>0</v>
      </c>
      <c r="AA15" s="10">
        <f>ProntoBaby!C14+ProntoBaby!O14+ProntoBaby!AA14</f>
        <v>0</v>
      </c>
      <c r="AB15" s="10">
        <f>ProntoBaby!D14+ProntoBaby!P14+ProntoBaby!AB14</f>
        <v>0</v>
      </c>
      <c r="AC15" s="10">
        <f>ProntoBaby!E14+ProntoBaby!Q14+ProntoBaby!AC14</f>
        <v>0</v>
      </c>
      <c r="AD15" s="10">
        <f>ProntoBaby!F14+ProntoBaby!R14+ProntoBaby!AD14</f>
        <v>0</v>
      </c>
      <c r="AE15" s="10">
        <f>ProntoBaby!G14+ProntoBaby!S14+ProntoBaby!AE14</f>
        <v>0</v>
      </c>
      <c r="AF15" s="10">
        <f>ProntoBaby!H14+ProntoBaby!T14+ProntoBaby!AF14</f>
        <v>0</v>
      </c>
      <c r="AG15" s="10">
        <f>ProntoBaby!I14+ProntoBaby!U14+ProntoBaby!AG14</f>
        <v>0</v>
      </c>
      <c r="AH15" s="10">
        <f>ProntoBaby!J14+ProntoBaby!V14+ProntoBaby!AH14</f>
        <v>0</v>
      </c>
      <c r="AI15" s="10">
        <f>ProntoBaby!K14+ProntoBaby!W14+ProntoBaby!AI14</f>
        <v>0</v>
      </c>
      <c r="AJ15" s="10">
        <f>ProntoBaby!L14+ProntoBaby!X14+ProntoBaby!AJ14</f>
        <v>0</v>
      </c>
      <c r="AK15" s="10">
        <f>ProntoBaby!M14+ProntoBaby!Y14+ProntoBaby!AK14</f>
        <v>0</v>
      </c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4" t="e">
        <f t="shared" si="15"/>
        <v>#REF!</v>
      </c>
      <c r="AY15" s="14" t="e">
        <f t="shared" si="16"/>
        <v>#REF!</v>
      </c>
      <c r="AZ15" s="14" t="e">
        <f t="shared" si="17"/>
        <v>#REF!</v>
      </c>
      <c r="BA15" s="14" t="e">
        <f t="shared" si="18"/>
        <v>#REF!</v>
      </c>
      <c r="BB15" s="14" t="e">
        <f t="shared" si="19"/>
        <v>#REF!</v>
      </c>
      <c r="BC15" s="14" t="e">
        <f t="shared" si="20"/>
        <v>#REF!</v>
      </c>
      <c r="BD15" s="14" t="e">
        <f t="shared" si="21"/>
        <v>#REF!</v>
      </c>
      <c r="BE15" s="14" t="e">
        <f t="shared" si="22"/>
        <v>#REF!</v>
      </c>
      <c r="BF15" s="14" t="e">
        <f t="shared" si="23"/>
        <v>#REF!</v>
      </c>
      <c r="BG15" s="14" t="e">
        <f t="shared" si="24"/>
        <v>#REF!</v>
      </c>
      <c r="BH15" s="14" t="e">
        <f t="shared" si="25"/>
        <v>#REF!</v>
      </c>
      <c r="BI15" s="14" t="e">
        <f t="shared" si="26"/>
        <v>#REF!</v>
      </c>
      <c r="BJ15" s="14" t="e">
        <f t="shared" si="14"/>
        <v>#REF!</v>
      </c>
    </row>
    <row r="16" spans="1:63" x14ac:dyDescent="0.25">
      <c r="A16" t="s">
        <v>29</v>
      </c>
      <c r="B16" s="10">
        <f>Neomater!B15+Neomater!N15+Neomater!CT15</f>
        <v>2</v>
      </c>
      <c r="C16" s="10">
        <f>Neomater!C15+Neomater!O15+Neomater!CU15</f>
        <v>0</v>
      </c>
      <c r="D16" s="10">
        <f>Neomater!D15+Neomater!P15+Neomater!CV15</f>
        <v>0</v>
      </c>
      <c r="E16" s="10">
        <f>Neomater!E15+Neomater!Q15+Neomater!CW15</f>
        <v>0</v>
      </c>
      <c r="F16" s="10">
        <f>Neomater!F15+Neomater!R15+Neomater!CX15</f>
        <v>0</v>
      </c>
      <c r="G16" s="10">
        <f>Neomater!G15+Neomater!S15+Neomater!CY15</f>
        <v>2</v>
      </c>
      <c r="H16" s="10">
        <f>Neomater!H15+Neomater!T15+Neomater!CZ15</f>
        <v>0</v>
      </c>
      <c r="I16" s="10">
        <f>Neomater!I15+Neomater!U15+Neomater!DA15</f>
        <v>0</v>
      </c>
      <c r="J16" s="10">
        <f>Neomater!J15+Neomater!V15+Neomater!DB15</f>
        <v>0</v>
      </c>
      <c r="K16" s="10">
        <f>Neomater!K15+Neomater!W15+Neomater!DC15</f>
        <v>0</v>
      </c>
      <c r="L16" s="10">
        <f>Neomater!L15+Neomater!X15+Neomater!DD15</f>
        <v>0</v>
      </c>
      <c r="M16" s="10">
        <f>Neomater!M15+Neomater!Y15+Neomater!DE15</f>
        <v>0</v>
      </c>
      <c r="N16" s="10" t="e">
        <f>Neotin!B15+Neotin!N15+Neotin!#REF!</f>
        <v>#REF!</v>
      </c>
      <c r="O16" s="10" t="e">
        <f>Neotin!C15+Neotin!O15+Neotin!#REF!</f>
        <v>#REF!</v>
      </c>
      <c r="P16" s="10" t="e">
        <f>Neotin!D15+Neotin!P15+Neotin!#REF!</f>
        <v>#REF!</v>
      </c>
      <c r="Q16" s="10" t="e">
        <f>Neotin!E15+Neotin!Q15+Neotin!#REF!</f>
        <v>#REF!</v>
      </c>
      <c r="R16" s="10" t="e">
        <f>Neotin!F15+Neotin!R15+Neotin!#REF!</f>
        <v>#REF!</v>
      </c>
      <c r="S16" s="10" t="e">
        <f>Neotin!G15+Neotin!S15+Neotin!#REF!</f>
        <v>#REF!</v>
      </c>
      <c r="T16" s="10" t="e">
        <f>Neotin!H15+Neotin!T15+Neotin!#REF!</f>
        <v>#REF!</v>
      </c>
      <c r="U16" s="10" t="e">
        <f>Neotin!I15+Neotin!U15+Neotin!#REF!</f>
        <v>#REF!</v>
      </c>
      <c r="V16" s="10" t="e">
        <f>Neotin!J15+Neotin!V15+Neotin!#REF!</f>
        <v>#REF!</v>
      </c>
      <c r="W16" s="10" t="e">
        <f>Neotin!K15+Neotin!W15+Neotin!#REF!</f>
        <v>#REF!</v>
      </c>
      <c r="X16" s="10" t="e">
        <f>Neotin!L15+Neotin!X15+Neotin!#REF!</f>
        <v>#REF!</v>
      </c>
      <c r="Y16" s="10" t="e">
        <f>Neotin!M15+Neotin!Y15+Neotin!#REF!</f>
        <v>#REF!</v>
      </c>
      <c r="Z16" s="10">
        <f>ProntoBaby!B15+ProntoBaby!N15+ProntoBaby!Z15</f>
        <v>0</v>
      </c>
      <c r="AA16" s="10">
        <f>ProntoBaby!C15+ProntoBaby!O15+ProntoBaby!AA15</f>
        <v>0</v>
      </c>
      <c r="AB16" s="10">
        <f>ProntoBaby!D15+ProntoBaby!P15+ProntoBaby!AB15</f>
        <v>0</v>
      </c>
      <c r="AC16" s="10">
        <f>ProntoBaby!E15+ProntoBaby!Q15+ProntoBaby!AC15</f>
        <v>0</v>
      </c>
      <c r="AD16" s="10">
        <f>ProntoBaby!F15+ProntoBaby!R15+ProntoBaby!AD15</f>
        <v>0</v>
      </c>
      <c r="AE16" s="10">
        <f>ProntoBaby!G15+ProntoBaby!S15+ProntoBaby!AE15</f>
        <v>0</v>
      </c>
      <c r="AF16" s="10">
        <f>ProntoBaby!H15+ProntoBaby!T15+ProntoBaby!AF15</f>
        <v>0</v>
      </c>
      <c r="AG16" s="10">
        <f>ProntoBaby!I15+ProntoBaby!U15+ProntoBaby!AG15</f>
        <v>0</v>
      </c>
      <c r="AH16" s="10">
        <f>ProntoBaby!J15+ProntoBaby!V15+ProntoBaby!AH15</f>
        <v>0</v>
      </c>
      <c r="AI16" s="10">
        <f>ProntoBaby!K15+ProntoBaby!W15+ProntoBaby!AI15</f>
        <v>0</v>
      </c>
      <c r="AJ16" s="10">
        <f>ProntoBaby!L15+ProntoBaby!X15+ProntoBaby!AJ15</f>
        <v>0</v>
      </c>
      <c r="AK16" s="10">
        <f>ProntoBaby!M15+ProntoBaby!Y15+ProntoBaby!AK15</f>
        <v>0</v>
      </c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4" t="e">
        <f t="shared" si="15"/>
        <v>#REF!</v>
      </c>
      <c r="AY16" s="14" t="e">
        <f t="shared" si="16"/>
        <v>#REF!</v>
      </c>
      <c r="AZ16" s="14" t="e">
        <f t="shared" si="17"/>
        <v>#REF!</v>
      </c>
      <c r="BA16" s="14" t="e">
        <f t="shared" si="18"/>
        <v>#REF!</v>
      </c>
      <c r="BB16" s="14" t="e">
        <f t="shared" si="19"/>
        <v>#REF!</v>
      </c>
      <c r="BC16" s="14" t="e">
        <f t="shared" si="20"/>
        <v>#REF!</v>
      </c>
      <c r="BD16" s="14" t="e">
        <f t="shared" si="21"/>
        <v>#REF!</v>
      </c>
      <c r="BE16" s="14" t="e">
        <f t="shared" si="22"/>
        <v>#REF!</v>
      </c>
      <c r="BF16" s="14" t="e">
        <f t="shared" si="23"/>
        <v>#REF!</v>
      </c>
      <c r="BG16" s="14" t="e">
        <f t="shared" si="24"/>
        <v>#REF!</v>
      </c>
      <c r="BH16" s="14" t="e">
        <f t="shared" si="25"/>
        <v>#REF!</v>
      </c>
      <c r="BI16" s="14" t="e">
        <f t="shared" si="26"/>
        <v>#REF!</v>
      </c>
      <c r="BJ16" s="14" t="e">
        <f t="shared" si="14"/>
        <v>#REF!</v>
      </c>
    </row>
    <row r="17" spans="1:62" x14ac:dyDescent="0.25">
      <c r="A17" t="s">
        <v>33</v>
      </c>
      <c r="B17" s="10">
        <f>Neomater!B16+Neomater!N16+Neomater!CT16</f>
        <v>0</v>
      </c>
      <c r="C17" s="10">
        <f>Neomater!C16+Neomater!O16+Neomater!CU16</f>
        <v>0</v>
      </c>
      <c r="D17" s="10">
        <f>Neomater!D16+Neomater!P16+Neomater!CV16</f>
        <v>0</v>
      </c>
      <c r="E17" s="10">
        <f>Neomater!E16+Neomater!Q16+Neomater!CW16</f>
        <v>0</v>
      </c>
      <c r="F17" s="10">
        <f>Neomater!F16+Neomater!R16+Neomater!CX16</f>
        <v>0</v>
      </c>
      <c r="G17" s="10">
        <f>Neomater!G16+Neomater!S16+Neomater!CY16</f>
        <v>0</v>
      </c>
      <c r="H17" s="10">
        <f>Neomater!H16+Neomater!T16+Neomater!CZ16</f>
        <v>0</v>
      </c>
      <c r="I17" s="10">
        <f>Neomater!I16+Neomater!U16+Neomater!DA16</f>
        <v>0</v>
      </c>
      <c r="J17" s="10">
        <f>Neomater!J16+Neomater!V16+Neomater!DB16</f>
        <v>0</v>
      </c>
      <c r="K17" s="10">
        <f>Neomater!K16+Neomater!W16+Neomater!DC16</f>
        <v>0</v>
      </c>
      <c r="L17" s="10">
        <f>Neomater!L16+Neomater!X16+Neomater!DD16</f>
        <v>0</v>
      </c>
      <c r="M17" s="10">
        <f>Neomater!M16+Neomater!Y16+Neomater!DE16</f>
        <v>0</v>
      </c>
      <c r="N17" s="10" t="e">
        <f>Neotin!B16+Neotin!N16+Neotin!#REF!</f>
        <v>#REF!</v>
      </c>
      <c r="O17" s="10" t="e">
        <f>Neotin!C16+Neotin!O16+Neotin!#REF!</f>
        <v>#REF!</v>
      </c>
      <c r="P17" s="10" t="e">
        <f>Neotin!D16+Neotin!P16+Neotin!#REF!</f>
        <v>#REF!</v>
      </c>
      <c r="Q17" s="10" t="e">
        <f>Neotin!E16+Neotin!Q16+Neotin!#REF!</f>
        <v>#REF!</v>
      </c>
      <c r="R17" s="10" t="e">
        <f>Neotin!F16+Neotin!R16+Neotin!#REF!</f>
        <v>#REF!</v>
      </c>
      <c r="S17" s="10" t="e">
        <f>Neotin!G16+Neotin!S16+Neotin!#REF!</f>
        <v>#REF!</v>
      </c>
      <c r="T17" s="10" t="e">
        <f>Neotin!H16+Neotin!T16+Neotin!#REF!</f>
        <v>#REF!</v>
      </c>
      <c r="U17" s="10" t="e">
        <f>Neotin!I16+Neotin!U16+Neotin!#REF!</f>
        <v>#REF!</v>
      </c>
      <c r="V17" s="10" t="e">
        <f>Neotin!J16+Neotin!V16+Neotin!#REF!</f>
        <v>#REF!</v>
      </c>
      <c r="W17" s="10" t="e">
        <f>Neotin!K16+Neotin!W16+Neotin!#REF!</f>
        <v>#REF!</v>
      </c>
      <c r="X17" s="10" t="e">
        <f>Neotin!L16+Neotin!X16+Neotin!#REF!</f>
        <v>#REF!</v>
      </c>
      <c r="Y17" s="10" t="e">
        <f>Neotin!M16+Neotin!Y16+Neotin!#REF!</f>
        <v>#REF!</v>
      </c>
      <c r="Z17" s="10">
        <f>ProntoBaby!B16+ProntoBaby!N16+ProntoBaby!Z16</f>
        <v>0</v>
      </c>
      <c r="AA17" s="10">
        <f>ProntoBaby!C16+ProntoBaby!O16+ProntoBaby!AA16</f>
        <v>0</v>
      </c>
      <c r="AB17" s="10">
        <f>ProntoBaby!D16+ProntoBaby!P16+ProntoBaby!AB16</f>
        <v>0</v>
      </c>
      <c r="AC17" s="10">
        <f>ProntoBaby!E16+ProntoBaby!Q16+ProntoBaby!AC16</f>
        <v>0</v>
      </c>
      <c r="AD17" s="10">
        <f>ProntoBaby!F16+ProntoBaby!R16+ProntoBaby!AD16</f>
        <v>0</v>
      </c>
      <c r="AE17" s="10">
        <f>ProntoBaby!G16+ProntoBaby!S16+ProntoBaby!AE16</f>
        <v>0</v>
      </c>
      <c r="AF17" s="10">
        <f>ProntoBaby!H16+ProntoBaby!T16+ProntoBaby!AF16</f>
        <v>0</v>
      </c>
      <c r="AG17" s="10">
        <f>ProntoBaby!I16+ProntoBaby!U16+ProntoBaby!AG16</f>
        <v>0</v>
      </c>
      <c r="AH17" s="10">
        <f>ProntoBaby!J16+ProntoBaby!V16+ProntoBaby!AH16</f>
        <v>0</v>
      </c>
      <c r="AI17" s="10">
        <f>ProntoBaby!K16+ProntoBaby!W16+ProntoBaby!AI16</f>
        <v>0</v>
      </c>
      <c r="AJ17" s="10">
        <f>ProntoBaby!L16+ProntoBaby!X16+ProntoBaby!AJ16</f>
        <v>0</v>
      </c>
      <c r="AK17" s="10">
        <f>ProntoBaby!M16+ProntoBaby!Y16+ProntoBaby!AK16</f>
        <v>0</v>
      </c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4" t="e">
        <f t="shared" si="15"/>
        <v>#REF!</v>
      </c>
      <c r="AY17" s="14" t="e">
        <f t="shared" si="16"/>
        <v>#REF!</v>
      </c>
      <c r="AZ17" s="14" t="e">
        <f t="shared" si="17"/>
        <v>#REF!</v>
      </c>
      <c r="BA17" s="14" t="e">
        <f t="shared" si="18"/>
        <v>#REF!</v>
      </c>
      <c r="BB17" s="14" t="e">
        <f t="shared" si="19"/>
        <v>#REF!</v>
      </c>
      <c r="BC17" s="14" t="e">
        <f t="shared" si="20"/>
        <v>#REF!</v>
      </c>
      <c r="BD17" s="14" t="e">
        <f t="shared" si="21"/>
        <v>#REF!</v>
      </c>
      <c r="BE17" s="14" t="e">
        <f t="shared" si="22"/>
        <v>#REF!</v>
      </c>
      <c r="BF17" s="14" t="e">
        <f t="shared" si="23"/>
        <v>#REF!</v>
      </c>
      <c r="BG17" s="14" t="e">
        <f t="shared" si="24"/>
        <v>#REF!</v>
      </c>
      <c r="BH17" s="14" t="e">
        <f t="shared" si="25"/>
        <v>#REF!</v>
      </c>
      <c r="BI17" s="14" t="e">
        <f t="shared" si="26"/>
        <v>#REF!</v>
      </c>
      <c r="BJ17" s="14" t="e">
        <f t="shared" si="14"/>
        <v>#REF!</v>
      </c>
    </row>
    <row r="18" spans="1:62" x14ac:dyDescent="0.25">
      <c r="A18" t="s">
        <v>34</v>
      </c>
      <c r="B18" s="10">
        <f>Neomater!B17+Neomater!N17+Neomater!CT17</f>
        <v>6</v>
      </c>
      <c r="C18" s="10">
        <f>Neomater!C17+Neomater!O17+Neomater!CU17</f>
        <v>0</v>
      </c>
      <c r="D18" s="10">
        <f>Neomater!D17+Neomater!P17+Neomater!CV17</f>
        <v>0</v>
      </c>
      <c r="E18" s="10">
        <f>Neomater!E17+Neomater!Q17+Neomater!CW17</f>
        <v>0</v>
      </c>
      <c r="F18" s="10">
        <f>Neomater!F17+Neomater!R17+Neomater!CX17</f>
        <v>2</v>
      </c>
      <c r="G18" s="10">
        <f>Neomater!G17+Neomater!S17+Neomater!CY17</f>
        <v>2</v>
      </c>
      <c r="H18" s="10">
        <f>Neomater!H17+Neomater!T17+Neomater!CZ17</f>
        <v>0</v>
      </c>
      <c r="I18" s="10">
        <f>Neomater!I17+Neomater!U17+Neomater!DA17</f>
        <v>6</v>
      </c>
      <c r="J18" s="10">
        <f>Neomater!J17+Neomater!V17+Neomater!DB17</f>
        <v>0</v>
      </c>
      <c r="K18" s="10">
        <f>Neomater!K17+Neomater!W17+Neomater!DC17</f>
        <v>8</v>
      </c>
      <c r="L18" s="10">
        <f>Neomater!L17+Neomater!X17+Neomater!DD17</f>
        <v>0</v>
      </c>
      <c r="M18" s="10">
        <f>Neomater!M17+Neomater!Y17+Neomater!DE17</f>
        <v>10</v>
      </c>
      <c r="N18" s="10" t="e">
        <f>Neotin!B17+Neotin!N17+Neotin!#REF!</f>
        <v>#REF!</v>
      </c>
      <c r="O18" s="10" t="e">
        <f>Neotin!C17+Neotin!O17+Neotin!#REF!</f>
        <v>#REF!</v>
      </c>
      <c r="P18" s="10" t="e">
        <f>Neotin!D17+Neotin!P17+Neotin!#REF!</f>
        <v>#REF!</v>
      </c>
      <c r="Q18" s="10" t="e">
        <f>Neotin!E17+Neotin!Q17+Neotin!#REF!</f>
        <v>#REF!</v>
      </c>
      <c r="R18" s="10" t="e">
        <f>Neotin!F17+Neotin!R17+Neotin!#REF!</f>
        <v>#REF!</v>
      </c>
      <c r="S18" s="10" t="e">
        <f>Neotin!G17+Neotin!S17+Neotin!#REF!</f>
        <v>#REF!</v>
      </c>
      <c r="T18" s="10" t="e">
        <f>Neotin!H17+Neotin!T17+Neotin!#REF!</f>
        <v>#REF!</v>
      </c>
      <c r="U18" s="10" t="e">
        <f>Neotin!I17+Neotin!U17+Neotin!#REF!</f>
        <v>#REF!</v>
      </c>
      <c r="V18" s="10" t="e">
        <f>Neotin!J17+Neotin!V17+Neotin!#REF!</f>
        <v>#REF!</v>
      </c>
      <c r="W18" s="10" t="e">
        <f>Neotin!K17+Neotin!W17+Neotin!#REF!</f>
        <v>#REF!</v>
      </c>
      <c r="X18" s="10" t="e">
        <f>Neotin!L17+Neotin!X17+Neotin!#REF!</f>
        <v>#REF!</v>
      </c>
      <c r="Y18" s="10" t="e">
        <f>Neotin!M17+Neotin!Y17+Neotin!#REF!</f>
        <v>#REF!</v>
      </c>
      <c r="Z18" s="10">
        <f>ProntoBaby!B17+ProntoBaby!N17+ProntoBaby!Z17</f>
        <v>0</v>
      </c>
      <c r="AA18" s="10">
        <f>ProntoBaby!C17+ProntoBaby!O17+ProntoBaby!AA17</f>
        <v>0</v>
      </c>
      <c r="AB18" s="10">
        <f>ProntoBaby!D17+ProntoBaby!P17+ProntoBaby!AB17</f>
        <v>0</v>
      </c>
      <c r="AC18" s="10">
        <f>ProntoBaby!E17+ProntoBaby!Q17+ProntoBaby!AC17</f>
        <v>0</v>
      </c>
      <c r="AD18" s="10">
        <f>ProntoBaby!F17+ProntoBaby!R17+ProntoBaby!AD17</f>
        <v>0</v>
      </c>
      <c r="AE18" s="10">
        <f>ProntoBaby!G17+ProntoBaby!S17+ProntoBaby!AE17</f>
        <v>0</v>
      </c>
      <c r="AF18" s="10">
        <f>ProntoBaby!H17+ProntoBaby!T17+ProntoBaby!AF17</f>
        <v>0</v>
      </c>
      <c r="AG18" s="10">
        <f>ProntoBaby!I17+ProntoBaby!U17+ProntoBaby!AG17</f>
        <v>0</v>
      </c>
      <c r="AH18" s="10">
        <f>ProntoBaby!J17+ProntoBaby!V17+ProntoBaby!AH17</f>
        <v>0</v>
      </c>
      <c r="AI18" s="10">
        <f>ProntoBaby!K17+ProntoBaby!W17+ProntoBaby!AI17</f>
        <v>0</v>
      </c>
      <c r="AJ18" s="10">
        <f>ProntoBaby!L17+ProntoBaby!X17+ProntoBaby!AJ17</f>
        <v>0</v>
      </c>
      <c r="AK18" s="10">
        <f>ProntoBaby!M17+ProntoBaby!Y17+ProntoBaby!AK17</f>
        <v>0</v>
      </c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4" t="e">
        <f t="shared" si="15"/>
        <v>#REF!</v>
      </c>
      <c r="AY18" s="14" t="e">
        <f t="shared" si="16"/>
        <v>#REF!</v>
      </c>
      <c r="AZ18" s="14" t="e">
        <f t="shared" si="17"/>
        <v>#REF!</v>
      </c>
      <c r="BA18" s="14" t="e">
        <f t="shared" si="18"/>
        <v>#REF!</v>
      </c>
      <c r="BB18" s="14" t="e">
        <f t="shared" si="19"/>
        <v>#REF!</v>
      </c>
      <c r="BC18" s="14" t="e">
        <f t="shared" si="20"/>
        <v>#REF!</v>
      </c>
      <c r="BD18" s="14" t="e">
        <f t="shared" si="21"/>
        <v>#REF!</v>
      </c>
      <c r="BE18" s="14" t="e">
        <f t="shared" si="22"/>
        <v>#REF!</v>
      </c>
      <c r="BF18" s="14" t="e">
        <f t="shared" si="23"/>
        <v>#REF!</v>
      </c>
      <c r="BG18" s="14" t="e">
        <f t="shared" si="24"/>
        <v>#REF!</v>
      </c>
      <c r="BH18" s="14" t="e">
        <f t="shared" si="25"/>
        <v>#REF!</v>
      </c>
      <c r="BI18" s="14" t="e">
        <f t="shared" si="26"/>
        <v>#REF!</v>
      </c>
      <c r="BJ18" s="14" t="e">
        <f t="shared" si="14"/>
        <v>#REF!</v>
      </c>
    </row>
    <row r="19" spans="1:62" x14ac:dyDescent="0.25">
      <c r="AX19" s="13"/>
    </row>
  </sheetData>
  <mergeCells count="7">
    <mergeCell ref="A1:A2"/>
    <mergeCell ref="AX1:BH1"/>
    <mergeCell ref="B1:M1"/>
    <mergeCell ref="BI1:BK1"/>
    <mergeCell ref="N1:Y1"/>
    <mergeCell ref="Z1:AK1"/>
    <mergeCell ref="AL1:AW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3ECF-32AC-4114-A35D-11ACEBB61BAB}">
  <sheetPr codeName="Planilha4"/>
  <dimension ref="A1:AA18"/>
  <sheetViews>
    <sheetView topLeftCell="D1" zoomScale="85" zoomScaleNormal="85" workbookViewId="0">
      <selection activeCell="I25" sqref="I25"/>
    </sheetView>
  </sheetViews>
  <sheetFormatPr defaultRowHeight="15" x14ac:dyDescent="0.25"/>
  <cols>
    <col min="1" max="1" width="71.5703125" bestFit="1" customWidth="1"/>
  </cols>
  <sheetData>
    <row r="1" spans="1:27" x14ac:dyDescent="0.25">
      <c r="A1" s="21" t="s">
        <v>35</v>
      </c>
      <c r="B1" s="23" t="s">
        <v>60</v>
      </c>
      <c r="C1" s="24"/>
      <c r="D1" s="24"/>
      <c r="E1" s="24"/>
      <c r="F1" s="24"/>
      <c r="G1" s="24"/>
      <c r="H1" s="24"/>
      <c r="I1" s="24"/>
      <c r="J1" s="24"/>
      <c r="K1" s="24"/>
      <c r="L1" s="24"/>
      <c r="M1" s="25"/>
      <c r="N1" s="23" t="s">
        <v>17</v>
      </c>
      <c r="O1" s="24"/>
      <c r="P1" s="24"/>
      <c r="Q1" s="24"/>
      <c r="R1" s="24"/>
      <c r="S1" s="24"/>
      <c r="T1" s="24"/>
      <c r="U1" s="24"/>
      <c r="V1" s="24"/>
      <c r="W1" s="24"/>
      <c r="X1" s="24"/>
      <c r="Y1" s="26"/>
      <c r="Z1" s="26"/>
      <c r="AA1" s="26"/>
    </row>
    <row r="2" spans="1:27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37</v>
      </c>
      <c r="N2" s="15" t="s">
        <v>39</v>
      </c>
      <c r="O2" s="15" t="s">
        <v>40</v>
      </c>
      <c r="P2" s="15" t="s">
        <v>44</v>
      </c>
      <c r="Q2" s="15" t="s">
        <v>20</v>
      </c>
      <c r="R2" s="15" t="s">
        <v>45</v>
      </c>
      <c r="S2" s="15" t="s">
        <v>42</v>
      </c>
      <c r="T2" s="15" t="s">
        <v>43</v>
      </c>
      <c r="U2" s="15" t="s">
        <v>36</v>
      </c>
      <c r="V2" s="15" t="s">
        <v>46</v>
      </c>
      <c r="W2" s="15" t="s">
        <v>38</v>
      </c>
      <c r="X2" s="15" t="s">
        <v>41</v>
      </c>
      <c r="Y2" s="15" t="s">
        <v>37</v>
      </c>
      <c r="Z2" s="16" t="s">
        <v>17</v>
      </c>
    </row>
    <row r="3" spans="1:27" x14ac:dyDescent="0.25">
      <c r="A3" s="12" t="s">
        <v>17</v>
      </c>
      <c r="B3" s="10">
        <f>SUM(B4:B18)</f>
        <v>0</v>
      </c>
      <c r="C3" s="10">
        <f t="shared" ref="C3:M3" si="0">SUM(C4:C18)</f>
        <v>0</v>
      </c>
      <c r="D3" s="10">
        <f t="shared" si="0"/>
        <v>0</v>
      </c>
      <c r="E3" s="10">
        <f t="shared" si="0"/>
        <v>0</v>
      </c>
      <c r="F3" s="10">
        <f t="shared" si="0"/>
        <v>0</v>
      </c>
      <c r="G3" s="10">
        <f t="shared" si="0"/>
        <v>0</v>
      </c>
      <c r="H3" s="10">
        <f t="shared" si="0"/>
        <v>0</v>
      </c>
      <c r="I3" s="10">
        <f t="shared" si="0"/>
        <v>0</v>
      </c>
      <c r="J3" s="10">
        <f t="shared" si="0"/>
        <v>0</v>
      </c>
      <c r="K3" s="10">
        <f t="shared" si="0"/>
        <v>0</v>
      </c>
      <c r="L3" s="10">
        <f t="shared" si="0"/>
        <v>0</v>
      </c>
      <c r="M3" s="10">
        <f t="shared" si="0"/>
        <v>0</v>
      </c>
      <c r="N3" s="14">
        <f t="shared" ref="N3:Y3" si="1">SUM(N4:N18)</f>
        <v>0</v>
      </c>
      <c r="O3" s="14">
        <f t="shared" si="1"/>
        <v>0</v>
      </c>
      <c r="P3" s="14">
        <f t="shared" si="1"/>
        <v>0</v>
      </c>
      <c r="Q3" s="14">
        <f t="shared" si="1"/>
        <v>0</v>
      </c>
      <c r="R3" s="14">
        <f t="shared" si="1"/>
        <v>0</v>
      </c>
      <c r="S3" s="14">
        <f t="shared" si="1"/>
        <v>0</v>
      </c>
      <c r="T3" s="14">
        <f t="shared" si="1"/>
        <v>0</v>
      </c>
      <c r="U3" s="14">
        <f t="shared" si="1"/>
        <v>0</v>
      </c>
      <c r="V3" s="14">
        <f t="shared" si="1"/>
        <v>0</v>
      </c>
      <c r="W3" s="14">
        <f t="shared" si="1"/>
        <v>0</v>
      </c>
      <c r="X3" s="14">
        <f t="shared" si="1"/>
        <v>0</v>
      </c>
      <c r="Y3" s="14">
        <f t="shared" si="1"/>
        <v>0</v>
      </c>
      <c r="Z3" s="14">
        <f>SUM(Z4:Z18)</f>
        <v>0</v>
      </c>
    </row>
    <row r="4" spans="1:27" x14ac:dyDescent="0.25">
      <c r="A4" t="s">
        <v>21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4">
        <f t="shared" ref="N4:Y18" si="2">B4</f>
        <v>0</v>
      </c>
      <c r="O4" s="14">
        <f t="shared" si="2"/>
        <v>0</v>
      </c>
      <c r="P4" s="14">
        <f t="shared" si="2"/>
        <v>0</v>
      </c>
      <c r="Q4" s="14">
        <f t="shared" si="2"/>
        <v>0</v>
      </c>
      <c r="R4" s="14">
        <f t="shared" si="2"/>
        <v>0</v>
      </c>
      <c r="S4" s="14">
        <f t="shared" si="2"/>
        <v>0</v>
      </c>
      <c r="T4" s="14">
        <f t="shared" si="2"/>
        <v>0</v>
      </c>
      <c r="U4" s="14">
        <f t="shared" si="2"/>
        <v>0</v>
      </c>
      <c r="V4" s="14">
        <f t="shared" si="2"/>
        <v>0</v>
      </c>
      <c r="W4" s="14">
        <f t="shared" si="2"/>
        <v>0</v>
      </c>
      <c r="X4" s="14">
        <f t="shared" si="2"/>
        <v>0</v>
      </c>
      <c r="Y4" s="14">
        <f t="shared" si="2"/>
        <v>0</v>
      </c>
      <c r="Z4" s="14">
        <f t="shared" ref="Z4:Z17" si="3">SUM(N4:Y4)</f>
        <v>0</v>
      </c>
    </row>
    <row r="5" spans="1:27" x14ac:dyDescent="0.25">
      <c r="A5" t="s">
        <v>22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4">
        <f t="shared" si="2"/>
        <v>0</v>
      </c>
      <c r="O5" s="14">
        <f t="shared" si="2"/>
        <v>0</v>
      </c>
      <c r="P5" s="14">
        <f t="shared" si="2"/>
        <v>0</v>
      </c>
      <c r="Q5" s="14">
        <f t="shared" si="2"/>
        <v>0</v>
      </c>
      <c r="R5" s="14">
        <f t="shared" si="2"/>
        <v>0</v>
      </c>
      <c r="S5" s="14">
        <f t="shared" si="2"/>
        <v>0</v>
      </c>
      <c r="T5" s="14">
        <f t="shared" si="2"/>
        <v>0</v>
      </c>
      <c r="U5" s="14">
        <f t="shared" si="2"/>
        <v>0</v>
      </c>
      <c r="V5" s="14">
        <f t="shared" si="2"/>
        <v>0</v>
      </c>
      <c r="W5" s="14">
        <f t="shared" si="2"/>
        <v>0</v>
      </c>
      <c r="X5" s="14">
        <f t="shared" si="2"/>
        <v>0</v>
      </c>
      <c r="Y5" s="14">
        <f t="shared" si="2"/>
        <v>0</v>
      </c>
      <c r="Z5" s="14">
        <f t="shared" si="3"/>
        <v>0</v>
      </c>
    </row>
    <row r="6" spans="1:27" x14ac:dyDescent="0.25">
      <c r="A6" t="s">
        <v>23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4">
        <f t="shared" si="2"/>
        <v>0</v>
      </c>
      <c r="O6" s="14">
        <f t="shared" si="2"/>
        <v>0</v>
      </c>
      <c r="P6" s="14">
        <f t="shared" si="2"/>
        <v>0</v>
      </c>
      <c r="Q6" s="14">
        <f t="shared" si="2"/>
        <v>0</v>
      </c>
      <c r="R6" s="14">
        <f t="shared" si="2"/>
        <v>0</v>
      </c>
      <c r="S6" s="14">
        <f t="shared" si="2"/>
        <v>0</v>
      </c>
      <c r="T6" s="14">
        <f t="shared" si="2"/>
        <v>0</v>
      </c>
      <c r="U6" s="14">
        <f t="shared" si="2"/>
        <v>0</v>
      </c>
      <c r="V6" s="14">
        <f t="shared" si="2"/>
        <v>0</v>
      </c>
      <c r="W6" s="14">
        <f t="shared" si="2"/>
        <v>0</v>
      </c>
      <c r="X6" s="14">
        <f t="shared" si="2"/>
        <v>0</v>
      </c>
      <c r="Y6" s="14">
        <f t="shared" si="2"/>
        <v>0</v>
      </c>
      <c r="Z6" s="14">
        <f t="shared" si="3"/>
        <v>0</v>
      </c>
    </row>
    <row r="7" spans="1:27" x14ac:dyDescent="0.25">
      <c r="A7" t="s">
        <v>59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4">
        <f t="shared" si="2"/>
        <v>0</v>
      </c>
      <c r="O7" s="14">
        <f t="shared" si="2"/>
        <v>0</v>
      </c>
      <c r="P7" s="14">
        <f t="shared" si="2"/>
        <v>0</v>
      </c>
      <c r="Q7" s="14">
        <f t="shared" si="2"/>
        <v>0</v>
      </c>
      <c r="R7" s="14">
        <f t="shared" si="2"/>
        <v>0</v>
      </c>
      <c r="S7" s="14">
        <f t="shared" si="2"/>
        <v>0</v>
      </c>
      <c r="T7" s="14">
        <f t="shared" si="2"/>
        <v>0</v>
      </c>
      <c r="U7" s="14">
        <f t="shared" si="2"/>
        <v>0</v>
      </c>
      <c r="V7" s="14">
        <f t="shared" si="2"/>
        <v>0</v>
      </c>
      <c r="W7" s="14">
        <f t="shared" si="2"/>
        <v>0</v>
      </c>
      <c r="X7" s="14">
        <f t="shared" si="2"/>
        <v>0</v>
      </c>
      <c r="Y7" s="14">
        <f t="shared" si="2"/>
        <v>0</v>
      </c>
      <c r="Z7" s="14">
        <f t="shared" si="3"/>
        <v>0</v>
      </c>
    </row>
    <row r="8" spans="1:27" x14ac:dyDescent="0.25">
      <c r="A8" t="s">
        <v>30</v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4">
        <f t="shared" si="2"/>
        <v>0</v>
      </c>
      <c r="O8" s="14">
        <f t="shared" si="2"/>
        <v>0</v>
      </c>
      <c r="P8" s="14">
        <f t="shared" si="2"/>
        <v>0</v>
      </c>
      <c r="Q8" s="14">
        <f t="shared" si="2"/>
        <v>0</v>
      </c>
      <c r="R8" s="14">
        <f t="shared" si="2"/>
        <v>0</v>
      </c>
      <c r="S8" s="14">
        <f t="shared" si="2"/>
        <v>0</v>
      </c>
      <c r="T8" s="14">
        <f t="shared" si="2"/>
        <v>0</v>
      </c>
      <c r="U8" s="14">
        <f t="shared" si="2"/>
        <v>0</v>
      </c>
      <c r="V8" s="14">
        <f t="shared" si="2"/>
        <v>0</v>
      </c>
      <c r="W8" s="14">
        <f t="shared" si="2"/>
        <v>0</v>
      </c>
      <c r="X8" s="14">
        <f t="shared" si="2"/>
        <v>0</v>
      </c>
      <c r="Y8" s="14">
        <f t="shared" si="2"/>
        <v>0</v>
      </c>
      <c r="Z8" s="14">
        <f t="shared" si="3"/>
        <v>0</v>
      </c>
    </row>
    <row r="9" spans="1:27" x14ac:dyDescent="0.25">
      <c r="A9" t="s">
        <v>24</v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4">
        <f t="shared" si="2"/>
        <v>0</v>
      </c>
      <c r="O9" s="14">
        <f t="shared" si="2"/>
        <v>0</v>
      </c>
      <c r="P9" s="14">
        <f t="shared" si="2"/>
        <v>0</v>
      </c>
      <c r="Q9" s="14">
        <f t="shared" si="2"/>
        <v>0</v>
      </c>
      <c r="R9" s="14">
        <f t="shared" si="2"/>
        <v>0</v>
      </c>
      <c r="S9" s="14">
        <f t="shared" si="2"/>
        <v>0</v>
      </c>
      <c r="T9" s="14">
        <f t="shared" si="2"/>
        <v>0</v>
      </c>
      <c r="U9" s="14">
        <f t="shared" si="2"/>
        <v>0</v>
      </c>
      <c r="V9" s="14">
        <f t="shared" si="2"/>
        <v>0</v>
      </c>
      <c r="W9" s="14">
        <f t="shared" si="2"/>
        <v>0</v>
      </c>
      <c r="X9" s="14">
        <f t="shared" si="2"/>
        <v>0</v>
      </c>
      <c r="Y9" s="14">
        <f t="shared" si="2"/>
        <v>0</v>
      </c>
      <c r="Z9" s="14">
        <f t="shared" si="3"/>
        <v>0</v>
      </c>
    </row>
    <row r="10" spans="1:27" x14ac:dyDescent="0.25">
      <c r="A10" t="s">
        <v>25</v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4">
        <f t="shared" si="2"/>
        <v>0</v>
      </c>
      <c r="O10" s="14">
        <f t="shared" si="2"/>
        <v>0</v>
      </c>
      <c r="P10" s="14">
        <f t="shared" si="2"/>
        <v>0</v>
      </c>
      <c r="Q10" s="14">
        <f t="shared" si="2"/>
        <v>0</v>
      </c>
      <c r="R10" s="14">
        <f t="shared" si="2"/>
        <v>0</v>
      </c>
      <c r="S10" s="14">
        <f t="shared" si="2"/>
        <v>0</v>
      </c>
      <c r="T10" s="14">
        <f t="shared" si="2"/>
        <v>0</v>
      </c>
      <c r="U10" s="14">
        <f t="shared" si="2"/>
        <v>0</v>
      </c>
      <c r="V10" s="14">
        <f t="shared" si="2"/>
        <v>0</v>
      </c>
      <c r="W10" s="14">
        <f t="shared" si="2"/>
        <v>0</v>
      </c>
      <c r="X10" s="14">
        <f t="shared" si="2"/>
        <v>0</v>
      </c>
      <c r="Y10" s="14">
        <f t="shared" si="2"/>
        <v>0</v>
      </c>
      <c r="Z10" s="14">
        <f t="shared" si="3"/>
        <v>0</v>
      </c>
    </row>
    <row r="11" spans="1:27" x14ac:dyDescent="0.25">
      <c r="A11" t="s">
        <v>26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4">
        <f t="shared" si="2"/>
        <v>0</v>
      </c>
      <c r="O11" s="14">
        <f t="shared" si="2"/>
        <v>0</v>
      </c>
      <c r="P11" s="14">
        <f t="shared" si="2"/>
        <v>0</v>
      </c>
      <c r="Q11" s="14">
        <f t="shared" si="2"/>
        <v>0</v>
      </c>
      <c r="R11" s="14">
        <f t="shared" si="2"/>
        <v>0</v>
      </c>
      <c r="S11" s="14">
        <f t="shared" si="2"/>
        <v>0</v>
      </c>
      <c r="T11" s="14">
        <f t="shared" si="2"/>
        <v>0</v>
      </c>
      <c r="U11" s="14">
        <f t="shared" si="2"/>
        <v>0</v>
      </c>
      <c r="V11" s="14">
        <f t="shared" si="2"/>
        <v>0</v>
      </c>
      <c r="W11" s="14">
        <f t="shared" si="2"/>
        <v>0</v>
      </c>
      <c r="X11" s="14">
        <f t="shared" si="2"/>
        <v>0</v>
      </c>
      <c r="Y11" s="14">
        <f t="shared" si="2"/>
        <v>0</v>
      </c>
      <c r="Z11" s="14">
        <f t="shared" si="3"/>
        <v>0</v>
      </c>
    </row>
    <row r="12" spans="1:27" x14ac:dyDescent="0.25">
      <c r="A12" t="s">
        <v>27</v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4">
        <f t="shared" si="2"/>
        <v>0</v>
      </c>
      <c r="O12" s="14">
        <f t="shared" si="2"/>
        <v>0</v>
      </c>
      <c r="P12" s="14">
        <f t="shared" si="2"/>
        <v>0</v>
      </c>
      <c r="Q12" s="14">
        <f t="shared" si="2"/>
        <v>0</v>
      </c>
      <c r="R12" s="14">
        <f t="shared" si="2"/>
        <v>0</v>
      </c>
      <c r="S12" s="14">
        <f t="shared" si="2"/>
        <v>0</v>
      </c>
      <c r="T12" s="14">
        <f t="shared" si="2"/>
        <v>0</v>
      </c>
      <c r="U12" s="14">
        <f t="shared" si="2"/>
        <v>0</v>
      </c>
      <c r="V12" s="14">
        <f t="shared" si="2"/>
        <v>0</v>
      </c>
      <c r="W12" s="14">
        <f t="shared" si="2"/>
        <v>0</v>
      </c>
      <c r="X12" s="14">
        <f t="shared" si="2"/>
        <v>0</v>
      </c>
      <c r="Y12" s="14">
        <f t="shared" si="2"/>
        <v>0</v>
      </c>
      <c r="Z12" s="14">
        <f t="shared" si="3"/>
        <v>0</v>
      </c>
    </row>
    <row r="13" spans="1:27" x14ac:dyDescent="0.25">
      <c r="A13" t="s">
        <v>31</v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4">
        <f t="shared" si="2"/>
        <v>0</v>
      </c>
      <c r="O13" s="14">
        <f t="shared" si="2"/>
        <v>0</v>
      </c>
      <c r="P13" s="14">
        <f t="shared" si="2"/>
        <v>0</v>
      </c>
      <c r="Q13" s="14">
        <f t="shared" si="2"/>
        <v>0</v>
      </c>
      <c r="R13" s="14">
        <f t="shared" si="2"/>
        <v>0</v>
      </c>
      <c r="S13" s="14">
        <f t="shared" si="2"/>
        <v>0</v>
      </c>
      <c r="T13" s="14">
        <f t="shared" si="2"/>
        <v>0</v>
      </c>
      <c r="U13" s="14">
        <f t="shared" si="2"/>
        <v>0</v>
      </c>
      <c r="V13" s="14">
        <f t="shared" si="2"/>
        <v>0</v>
      </c>
      <c r="W13" s="14">
        <f t="shared" si="2"/>
        <v>0</v>
      </c>
      <c r="X13" s="14">
        <f t="shared" si="2"/>
        <v>0</v>
      </c>
      <c r="Y13" s="14">
        <f t="shared" si="2"/>
        <v>0</v>
      </c>
      <c r="Z13" s="14">
        <f t="shared" si="3"/>
        <v>0</v>
      </c>
    </row>
    <row r="14" spans="1:27" x14ac:dyDescent="0.25">
      <c r="A14" t="s">
        <v>32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4">
        <f t="shared" si="2"/>
        <v>0</v>
      </c>
      <c r="O14" s="14">
        <f t="shared" si="2"/>
        <v>0</v>
      </c>
      <c r="P14" s="14">
        <f t="shared" si="2"/>
        <v>0</v>
      </c>
      <c r="Q14" s="14">
        <f t="shared" si="2"/>
        <v>0</v>
      </c>
      <c r="R14" s="14">
        <f t="shared" si="2"/>
        <v>0</v>
      </c>
      <c r="S14" s="14">
        <f t="shared" si="2"/>
        <v>0</v>
      </c>
      <c r="T14" s="14">
        <f t="shared" si="2"/>
        <v>0</v>
      </c>
      <c r="U14" s="14">
        <f t="shared" si="2"/>
        <v>0</v>
      </c>
      <c r="V14" s="14">
        <f t="shared" si="2"/>
        <v>0</v>
      </c>
      <c r="W14" s="14">
        <f t="shared" si="2"/>
        <v>0</v>
      </c>
      <c r="X14" s="14">
        <f t="shared" si="2"/>
        <v>0</v>
      </c>
      <c r="Y14" s="14">
        <f t="shared" si="2"/>
        <v>0</v>
      </c>
      <c r="Z14" s="14">
        <f t="shared" si="3"/>
        <v>0</v>
      </c>
    </row>
    <row r="15" spans="1:27" x14ac:dyDescent="0.25">
      <c r="A15" t="s">
        <v>28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4">
        <f t="shared" si="2"/>
        <v>0</v>
      </c>
      <c r="O15" s="14">
        <f t="shared" si="2"/>
        <v>0</v>
      </c>
      <c r="P15" s="14">
        <f t="shared" si="2"/>
        <v>0</v>
      </c>
      <c r="Q15" s="14">
        <f t="shared" si="2"/>
        <v>0</v>
      </c>
      <c r="R15" s="14">
        <f t="shared" si="2"/>
        <v>0</v>
      </c>
      <c r="S15" s="14">
        <f t="shared" si="2"/>
        <v>0</v>
      </c>
      <c r="T15" s="14">
        <f t="shared" si="2"/>
        <v>0</v>
      </c>
      <c r="U15" s="14">
        <f t="shared" si="2"/>
        <v>0</v>
      </c>
      <c r="V15" s="14">
        <f t="shared" si="2"/>
        <v>0</v>
      </c>
      <c r="W15" s="14">
        <f t="shared" si="2"/>
        <v>0</v>
      </c>
      <c r="X15" s="14">
        <f t="shared" si="2"/>
        <v>0</v>
      </c>
      <c r="Y15" s="14">
        <f t="shared" si="2"/>
        <v>0</v>
      </c>
      <c r="Z15" s="14">
        <f t="shared" si="3"/>
        <v>0</v>
      </c>
    </row>
    <row r="16" spans="1:27" x14ac:dyDescent="0.25">
      <c r="A16" t="s">
        <v>29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4">
        <f t="shared" si="2"/>
        <v>0</v>
      </c>
      <c r="O16" s="14">
        <f t="shared" si="2"/>
        <v>0</v>
      </c>
      <c r="P16" s="14">
        <f t="shared" si="2"/>
        <v>0</v>
      </c>
      <c r="Q16" s="14">
        <f t="shared" si="2"/>
        <v>0</v>
      </c>
      <c r="R16" s="14">
        <f t="shared" si="2"/>
        <v>0</v>
      </c>
      <c r="S16" s="14">
        <f t="shared" si="2"/>
        <v>0</v>
      </c>
      <c r="T16" s="14">
        <f t="shared" si="2"/>
        <v>0</v>
      </c>
      <c r="U16" s="14">
        <f t="shared" si="2"/>
        <v>0</v>
      </c>
      <c r="V16" s="14">
        <f t="shared" si="2"/>
        <v>0</v>
      </c>
      <c r="W16" s="14">
        <f t="shared" si="2"/>
        <v>0</v>
      </c>
      <c r="X16" s="14">
        <f t="shared" si="2"/>
        <v>0</v>
      </c>
      <c r="Y16" s="14">
        <f t="shared" si="2"/>
        <v>0</v>
      </c>
      <c r="Z16" s="14">
        <f t="shared" si="3"/>
        <v>0</v>
      </c>
    </row>
    <row r="17" spans="1:26" x14ac:dyDescent="0.25">
      <c r="A17" t="s">
        <v>33</v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4">
        <f t="shared" si="2"/>
        <v>0</v>
      </c>
      <c r="O17" s="14">
        <f t="shared" si="2"/>
        <v>0</v>
      </c>
      <c r="P17" s="14">
        <f t="shared" si="2"/>
        <v>0</v>
      </c>
      <c r="Q17" s="14">
        <f t="shared" si="2"/>
        <v>0</v>
      </c>
      <c r="R17" s="14">
        <f t="shared" si="2"/>
        <v>0</v>
      </c>
      <c r="S17" s="14">
        <f t="shared" si="2"/>
        <v>0</v>
      </c>
      <c r="T17" s="14">
        <f t="shared" si="2"/>
        <v>0</v>
      </c>
      <c r="U17" s="14">
        <f t="shared" si="2"/>
        <v>0</v>
      </c>
      <c r="V17" s="14">
        <f t="shared" si="2"/>
        <v>0</v>
      </c>
      <c r="W17" s="14">
        <f t="shared" si="2"/>
        <v>0</v>
      </c>
      <c r="X17" s="14">
        <f t="shared" si="2"/>
        <v>0</v>
      </c>
      <c r="Y17" s="14">
        <f t="shared" si="2"/>
        <v>0</v>
      </c>
      <c r="Z17" s="14">
        <f t="shared" si="3"/>
        <v>0</v>
      </c>
    </row>
    <row r="18" spans="1:26" x14ac:dyDescent="0.25">
      <c r="A18" t="s">
        <v>34</v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4">
        <f t="shared" si="2"/>
        <v>0</v>
      </c>
      <c r="O18" s="14">
        <f t="shared" si="2"/>
        <v>0</v>
      </c>
      <c r="P18" s="14">
        <f t="shared" si="2"/>
        <v>0</v>
      </c>
      <c r="Q18" s="14">
        <f t="shared" si="2"/>
        <v>0</v>
      </c>
      <c r="R18" s="14">
        <f t="shared" si="2"/>
        <v>0</v>
      </c>
      <c r="S18" s="14">
        <f t="shared" si="2"/>
        <v>0</v>
      </c>
      <c r="T18" s="14">
        <f t="shared" si="2"/>
        <v>0</v>
      </c>
      <c r="U18" s="14">
        <f t="shared" si="2"/>
        <v>0</v>
      </c>
      <c r="V18" s="14">
        <f t="shared" si="2"/>
        <v>0</v>
      </c>
      <c r="W18" s="14">
        <f t="shared" si="2"/>
        <v>0</v>
      </c>
      <c r="X18" s="14">
        <f t="shared" si="2"/>
        <v>0</v>
      </c>
      <c r="Y18" s="14">
        <f t="shared" si="2"/>
        <v>0</v>
      </c>
      <c r="Z18" s="14">
        <f>SUM(N18:Y18)</f>
        <v>0</v>
      </c>
    </row>
  </sheetData>
  <mergeCells count="4">
    <mergeCell ref="A1:A2"/>
    <mergeCell ref="B1:M1"/>
    <mergeCell ref="N1:X1"/>
    <mergeCell ref="Y1:AA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D50F5-E83C-40C9-9F5B-EE6F23549113}">
  <sheetPr codeName="Planilha5"/>
  <dimension ref="A1:GA18"/>
  <sheetViews>
    <sheetView topLeftCell="A2" zoomScaleNormal="100" workbookViewId="0">
      <selection activeCell="N3" sqref="N3:Y18"/>
    </sheetView>
  </sheetViews>
  <sheetFormatPr defaultRowHeight="15" x14ac:dyDescent="0.25"/>
  <cols>
    <col min="1" max="1" width="71.5703125" bestFit="1" customWidth="1"/>
    <col min="2" max="2" width="4" customWidth="1"/>
    <col min="3" max="3" width="5" customWidth="1"/>
    <col min="4" max="4" width="2.5703125" customWidth="1"/>
    <col min="5" max="5" width="4.140625" customWidth="1"/>
    <col min="6" max="6" width="5.28515625" customWidth="1"/>
    <col min="7" max="7" width="6.140625" customWidth="1"/>
    <col min="8" max="8" width="3.85546875" customWidth="1"/>
    <col min="9" max="9" width="4.28515625" customWidth="1"/>
    <col min="10" max="10" width="5.85546875" customWidth="1"/>
    <col min="11" max="11" width="5.28515625" customWidth="1"/>
    <col min="12" max="12" width="4.42578125" customWidth="1"/>
    <col min="13" max="13" width="5" customWidth="1"/>
    <col min="14" max="14" width="4" customWidth="1"/>
    <col min="15" max="15" width="5" customWidth="1"/>
    <col min="16" max="16" width="2.5703125" customWidth="1"/>
    <col min="17" max="17" width="4.140625" customWidth="1"/>
    <col min="18" max="18" width="5.28515625" customWidth="1"/>
    <col min="19" max="19" width="6.140625" customWidth="1"/>
    <col min="20" max="20" width="3.85546875" customWidth="1"/>
    <col min="21" max="21" width="4.28515625" customWidth="1"/>
    <col min="22" max="22" width="5.85546875" customWidth="1"/>
    <col min="23" max="23" width="5.28515625" customWidth="1"/>
    <col min="24" max="24" width="4.42578125" customWidth="1"/>
    <col min="25" max="97" width="5.5703125" customWidth="1"/>
    <col min="98" max="98" width="4" bestFit="1" customWidth="1"/>
    <col min="99" max="99" width="5" bestFit="1" customWidth="1"/>
    <col min="100" max="100" width="2.5703125" bestFit="1" customWidth="1"/>
    <col min="101" max="101" width="4.140625" bestFit="1" customWidth="1"/>
    <col min="102" max="102" width="5.28515625" bestFit="1" customWidth="1"/>
    <col min="103" max="103" width="6.140625" bestFit="1" customWidth="1"/>
    <col min="104" max="104" width="3.85546875" bestFit="1" customWidth="1"/>
    <col min="105" max="105" width="4.28515625" bestFit="1" customWidth="1"/>
    <col min="106" max="106" width="5.85546875" bestFit="1" customWidth="1"/>
    <col min="107" max="107" width="5.28515625" bestFit="1" customWidth="1"/>
    <col min="108" max="108" width="4.42578125" bestFit="1" customWidth="1"/>
    <col min="109" max="109" width="5.5703125" bestFit="1" customWidth="1"/>
    <col min="110" max="157" width="5.5703125" customWidth="1"/>
    <col min="158" max="158" width="4" bestFit="1" customWidth="1"/>
    <col min="159" max="159" width="5" bestFit="1" customWidth="1"/>
    <col min="160" max="160" width="2.5703125" bestFit="1" customWidth="1"/>
    <col min="161" max="161" width="4.140625" bestFit="1" customWidth="1"/>
    <col min="162" max="162" width="5.28515625" bestFit="1" customWidth="1"/>
    <col min="163" max="163" width="6.140625" bestFit="1" customWidth="1"/>
    <col min="164" max="164" width="3.85546875" bestFit="1" customWidth="1"/>
    <col min="165" max="165" width="4.28515625" bestFit="1" customWidth="1"/>
    <col min="166" max="166" width="5.85546875" bestFit="1" customWidth="1"/>
    <col min="167" max="167" width="5.28515625" bestFit="1" customWidth="1"/>
    <col min="168" max="168" width="4.42578125" bestFit="1" customWidth="1"/>
    <col min="169" max="169" width="5.5703125" bestFit="1" customWidth="1"/>
  </cols>
  <sheetData>
    <row r="1" spans="1:183" x14ac:dyDescent="0.25">
      <c r="A1" s="21" t="s">
        <v>57</v>
      </c>
      <c r="B1" s="27" t="s">
        <v>58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8"/>
      <c r="N1" s="27" t="s">
        <v>69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8"/>
      <c r="Z1" s="29" t="s">
        <v>70</v>
      </c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 t="s">
        <v>71</v>
      </c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 t="s">
        <v>73</v>
      </c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 t="s">
        <v>72</v>
      </c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 t="s">
        <v>74</v>
      </c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 t="s">
        <v>75</v>
      </c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7" t="s">
        <v>76</v>
      </c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8"/>
      <c r="DF1" s="27" t="s">
        <v>77</v>
      </c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8"/>
      <c r="DR1" s="27" t="s">
        <v>78</v>
      </c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8"/>
      <c r="ED1" s="27" t="s">
        <v>79</v>
      </c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8"/>
      <c r="EP1" s="27" t="s">
        <v>80</v>
      </c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8"/>
      <c r="FB1" s="27" t="s">
        <v>81</v>
      </c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8"/>
      <c r="FN1" s="23" t="s">
        <v>17</v>
      </c>
      <c r="FO1" s="24"/>
      <c r="FP1" s="24"/>
      <c r="FQ1" s="24"/>
      <c r="FR1" s="24"/>
      <c r="FS1" s="24"/>
      <c r="FT1" s="24"/>
      <c r="FU1" s="24"/>
      <c r="FV1" s="24"/>
      <c r="FW1" s="24"/>
      <c r="FX1" s="24"/>
      <c r="FY1" s="26"/>
      <c r="FZ1" s="26"/>
      <c r="GA1" s="26"/>
    </row>
    <row r="2" spans="1:183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0" t="s">
        <v>39</v>
      </c>
      <c r="AM2" s="10" t="s">
        <v>40</v>
      </c>
      <c r="AN2" s="10" t="s">
        <v>44</v>
      </c>
      <c r="AO2" s="10" t="s">
        <v>20</v>
      </c>
      <c r="AP2" s="10" t="s">
        <v>45</v>
      </c>
      <c r="AQ2" s="10" t="s">
        <v>42</v>
      </c>
      <c r="AR2" s="10" t="s">
        <v>43</v>
      </c>
      <c r="AS2" s="10" t="s">
        <v>36</v>
      </c>
      <c r="AT2" s="10" t="s">
        <v>46</v>
      </c>
      <c r="AU2" s="10" t="s">
        <v>38</v>
      </c>
      <c r="AV2" s="10" t="s">
        <v>41</v>
      </c>
      <c r="AW2" s="10" t="s">
        <v>37</v>
      </c>
      <c r="AX2" s="10" t="s">
        <v>39</v>
      </c>
      <c r="AY2" s="10" t="s">
        <v>40</v>
      </c>
      <c r="AZ2" s="10" t="s">
        <v>44</v>
      </c>
      <c r="BA2" s="10" t="s">
        <v>20</v>
      </c>
      <c r="BB2" s="10" t="s">
        <v>45</v>
      </c>
      <c r="BC2" s="10" t="s">
        <v>42</v>
      </c>
      <c r="BD2" s="10" t="s">
        <v>43</v>
      </c>
      <c r="BE2" s="10" t="s">
        <v>36</v>
      </c>
      <c r="BF2" s="10" t="s">
        <v>46</v>
      </c>
      <c r="BG2" s="10" t="s">
        <v>38</v>
      </c>
      <c r="BH2" s="10" t="s">
        <v>41</v>
      </c>
      <c r="BI2" s="10" t="s">
        <v>37</v>
      </c>
      <c r="BJ2" s="10" t="s">
        <v>39</v>
      </c>
      <c r="BK2" s="10" t="s">
        <v>40</v>
      </c>
      <c r="BL2" s="10" t="s">
        <v>44</v>
      </c>
      <c r="BM2" s="10" t="s">
        <v>20</v>
      </c>
      <c r="BN2" s="10" t="s">
        <v>45</v>
      </c>
      <c r="BO2" s="10" t="s">
        <v>42</v>
      </c>
      <c r="BP2" s="10" t="s">
        <v>43</v>
      </c>
      <c r="BQ2" s="10" t="s">
        <v>36</v>
      </c>
      <c r="BR2" s="10" t="s">
        <v>46</v>
      </c>
      <c r="BS2" s="10" t="s">
        <v>38</v>
      </c>
      <c r="BT2" s="10" t="s">
        <v>41</v>
      </c>
      <c r="BU2" s="10" t="s">
        <v>37</v>
      </c>
      <c r="BV2" s="10" t="s">
        <v>39</v>
      </c>
      <c r="BW2" s="10" t="s">
        <v>40</v>
      </c>
      <c r="BX2" s="10" t="s">
        <v>44</v>
      </c>
      <c r="BY2" s="10" t="s">
        <v>20</v>
      </c>
      <c r="BZ2" s="10" t="s">
        <v>45</v>
      </c>
      <c r="CA2" s="10" t="s">
        <v>42</v>
      </c>
      <c r="CB2" s="10" t="s">
        <v>43</v>
      </c>
      <c r="CC2" s="10" t="s">
        <v>36</v>
      </c>
      <c r="CD2" s="10" t="s">
        <v>46</v>
      </c>
      <c r="CE2" s="10" t="s">
        <v>38</v>
      </c>
      <c r="CF2" s="10" t="s">
        <v>41</v>
      </c>
      <c r="CG2" s="10" t="s">
        <v>37</v>
      </c>
      <c r="CH2" s="10" t="s">
        <v>39</v>
      </c>
      <c r="CI2" s="10" t="s">
        <v>40</v>
      </c>
      <c r="CJ2" s="10" t="s">
        <v>44</v>
      </c>
      <c r="CK2" s="10" t="s">
        <v>20</v>
      </c>
      <c r="CL2" s="10" t="s">
        <v>45</v>
      </c>
      <c r="CM2" s="10" t="s">
        <v>42</v>
      </c>
      <c r="CN2" s="10" t="s">
        <v>43</v>
      </c>
      <c r="CO2" s="10" t="s">
        <v>36</v>
      </c>
      <c r="CP2" s="10" t="s">
        <v>46</v>
      </c>
      <c r="CQ2" s="10" t="s">
        <v>38</v>
      </c>
      <c r="CR2" s="10" t="s">
        <v>41</v>
      </c>
      <c r="CS2" s="10" t="s">
        <v>37</v>
      </c>
      <c r="CT2" s="10" t="s">
        <v>39</v>
      </c>
      <c r="CU2" s="10" t="s">
        <v>40</v>
      </c>
      <c r="CV2" s="10" t="s">
        <v>44</v>
      </c>
      <c r="CW2" s="10" t="s">
        <v>20</v>
      </c>
      <c r="CX2" s="10" t="s">
        <v>45</v>
      </c>
      <c r="CY2" s="10" t="s">
        <v>42</v>
      </c>
      <c r="CZ2" s="10" t="s">
        <v>43</v>
      </c>
      <c r="DA2" s="10" t="s">
        <v>36</v>
      </c>
      <c r="DB2" s="10" t="s">
        <v>46</v>
      </c>
      <c r="DC2" s="10" t="s">
        <v>38</v>
      </c>
      <c r="DD2" s="10" t="s">
        <v>41</v>
      </c>
      <c r="DE2" s="10" t="s">
        <v>37</v>
      </c>
      <c r="DF2" s="10" t="s">
        <v>39</v>
      </c>
      <c r="DG2" s="10" t="s">
        <v>40</v>
      </c>
      <c r="DH2" s="10" t="s">
        <v>44</v>
      </c>
      <c r="DI2" s="10" t="s">
        <v>20</v>
      </c>
      <c r="DJ2" s="10" t="s">
        <v>45</v>
      </c>
      <c r="DK2" s="10" t="s">
        <v>42</v>
      </c>
      <c r="DL2" s="10" t="s">
        <v>43</v>
      </c>
      <c r="DM2" s="10" t="s">
        <v>36</v>
      </c>
      <c r="DN2" s="10" t="s">
        <v>46</v>
      </c>
      <c r="DO2" s="10" t="s">
        <v>38</v>
      </c>
      <c r="DP2" s="10" t="s">
        <v>41</v>
      </c>
      <c r="DQ2" s="10" t="s">
        <v>37</v>
      </c>
      <c r="DR2" s="10" t="s">
        <v>39</v>
      </c>
      <c r="DS2" s="10" t="s">
        <v>40</v>
      </c>
      <c r="DT2" s="10" t="s">
        <v>44</v>
      </c>
      <c r="DU2" s="10" t="s">
        <v>20</v>
      </c>
      <c r="DV2" s="10" t="s">
        <v>45</v>
      </c>
      <c r="DW2" s="10" t="s">
        <v>42</v>
      </c>
      <c r="DX2" s="10" t="s">
        <v>43</v>
      </c>
      <c r="DY2" s="10" t="s">
        <v>36</v>
      </c>
      <c r="DZ2" s="10" t="s">
        <v>46</v>
      </c>
      <c r="EA2" s="10" t="s">
        <v>38</v>
      </c>
      <c r="EB2" s="10" t="s">
        <v>41</v>
      </c>
      <c r="EC2" s="10" t="s">
        <v>37</v>
      </c>
      <c r="ED2" s="10" t="s">
        <v>39</v>
      </c>
      <c r="EE2" s="10" t="s">
        <v>40</v>
      </c>
      <c r="EF2" s="10" t="s">
        <v>44</v>
      </c>
      <c r="EG2" s="10" t="s">
        <v>20</v>
      </c>
      <c r="EH2" s="10" t="s">
        <v>45</v>
      </c>
      <c r="EI2" s="10" t="s">
        <v>42</v>
      </c>
      <c r="EJ2" s="10" t="s">
        <v>43</v>
      </c>
      <c r="EK2" s="10" t="s">
        <v>36</v>
      </c>
      <c r="EL2" s="10" t="s">
        <v>46</v>
      </c>
      <c r="EM2" s="10" t="s">
        <v>38</v>
      </c>
      <c r="EN2" s="10" t="s">
        <v>41</v>
      </c>
      <c r="EO2" s="10" t="s">
        <v>37</v>
      </c>
      <c r="EP2" s="10" t="s">
        <v>39</v>
      </c>
      <c r="EQ2" s="10" t="s">
        <v>40</v>
      </c>
      <c r="ER2" s="10" t="s">
        <v>44</v>
      </c>
      <c r="ES2" s="10" t="s">
        <v>20</v>
      </c>
      <c r="ET2" s="10" t="s">
        <v>45</v>
      </c>
      <c r="EU2" s="10" t="s">
        <v>42</v>
      </c>
      <c r="EV2" s="10" t="s">
        <v>43</v>
      </c>
      <c r="EW2" s="10" t="s">
        <v>36</v>
      </c>
      <c r="EX2" s="10" t="s">
        <v>46</v>
      </c>
      <c r="EY2" s="10" t="s">
        <v>38</v>
      </c>
      <c r="EZ2" s="10" t="s">
        <v>41</v>
      </c>
      <c r="FA2" s="10" t="s">
        <v>37</v>
      </c>
      <c r="FB2" s="10" t="s">
        <v>39</v>
      </c>
      <c r="FC2" s="10" t="s">
        <v>40</v>
      </c>
      <c r="FD2" s="10" t="s">
        <v>44</v>
      </c>
      <c r="FE2" s="10" t="s">
        <v>20</v>
      </c>
      <c r="FF2" s="10" t="s">
        <v>45</v>
      </c>
      <c r="FG2" s="10" t="s">
        <v>42</v>
      </c>
      <c r="FH2" s="10" t="s">
        <v>43</v>
      </c>
      <c r="FI2" s="10" t="s">
        <v>36</v>
      </c>
      <c r="FJ2" s="10" t="s">
        <v>46</v>
      </c>
      <c r="FK2" s="10" t="s">
        <v>38</v>
      </c>
      <c r="FL2" s="10" t="s">
        <v>41</v>
      </c>
      <c r="FM2" s="10" t="s">
        <v>37</v>
      </c>
      <c r="FN2" s="15" t="s">
        <v>39</v>
      </c>
      <c r="FO2" s="15" t="s">
        <v>40</v>
      </c>
      <c r="FP2" s="15" t="s">
        <v>44</v>
      </c>
      <c r="FQ2" s="15" t="s">
        <v>20</v>
      </c>
      <c r="FR2" s="15" t="s">
        <v>45</v>
      </c>
      <c r="FS2" s="15" t="s">
        <v>42</v>
      </c>
      <c r="FT2" s="15" t="s">
        <v>43</v>
      </c>
      <c r="FU2" s="15" t="s">
        <v>36</v>
      </c>
      <c r="FV2" s="15" t="s">
        <v>46</v>
      </c>
      <c r="FW2" s="15" t="s">
        <v>38</v>
      </c>
      <c r="FX2" s="15" t="s">
        <v>41</v>
      </c>
      <c r="FY2" s="15" t="s">
        <v>37</v>
      </c>
      <c r="FZ2" s="16" t="s">
        <v>17</v>
      </c>
    </row>
    <row r="3" spans="1:183" x14ac:dyDescent="0.25">
      <c r="A3" t="s">
        <v>21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4">
        <f t="shared" ref="FN3:FY3" si="0">B3+N3+CT3</f>
        <v>0</v>
      </c>
      <c r="FO3" s="14">
        <f t="shared" si="0"/>
        <v>0</v>
      </c>
      <c r="FP3" s="14">
        <f t="shared" si="0"/>
        <v>0</v>
      </c>
      <c r="FQ3" s="14">
        <f t="shared" si="0"/>
        <v>0</v>
      </c>
      <c r="FR3" s="14">
        <f t="shared" si="0"/>
        <v>0</v>
      </c>
      <c r="FS3" s="14">
        <f t="shared" si="0"/>
        <v>0</v>
      </c>
      <c r="FT3" s="14">
        <f t="shared" si="0"/>
        <v>0</v>
      </c>
      <c r="FU3" s="14">
        <f t="shared" si="0"/>
        <v>0</v>
      </c>
      <c r="FV3" s="14">
        <f t="shared" si="0"/>
        <v>0</v>
      </c>
      <c r="FW3" s="14">
        <f t="shared" si="0"/>
        <v>0</v>
      </c>
      <c r="FX3" s="14">
        <f t="shared" si="0"/>
        <v>0</v>
      </c>
      <c r="FY3" s="14">
        <f t="shared" si="0"/>
        <v>0</v>
      </c>
      <c r="FZ3" s="14">
        <f>SUM(FN3:FY3)</f>
        <v>0</v>
      </c>
    </row>
    <row r="4" spans="1:183" x14ac:dyDescent="0.25">
      <c r="A4" t="s">
        <v>22</v>
      </c>
      <c r="B4" s="10">
        <v>4</v>
      </c>
      <c r="C4" s="10">
        <v>0</v>
      </c>
      <c r="D4" s="10">
        <v>0</v>
      </c>
      <c r="E4" s="10">
        <v>0</v>
      </c>
      <c r="F4" s="10">
        <v>1</v>
      </c>
      <c r="G4" s="10">
        <v>4</v>
      </c>
      <c r="H4" s="10">
        <v>0</v>
      </c>
      <c r="I4" s="10">
        <v>14</v>
      </c>
      <c r="J4" s="10">
        <v>0</v>
      </c>
      <c r="K4" s="10">
        <v>4</v>
      </c>
      <c r="L4" s="10">
        <v>2</v>
      </c>
      <c r="M4" s="10">
        <v>6</v>
      </c>
      <c r="N4" s="10">
        <v>4</v>
      </c>
      <c r="O4" s="10">
        <v>0</v>
      </c>
      <c r="P4" s="10">
        <v>0</v>
      </c>
      <c r="Q4" s="10">
        <v>0</v>
      </c>
      <c r="R4" s="10">
        <v>1</v>
      </c>
      <c r="S4" s="10">
        <v>4</v>
      </c>
      <c r="T4" s="10">
        <v>0</v>
      </c>
      <c r="U4" s="10">
        <v>14</v>
      </c>
      <c r="V4" s="10">
        <v>0</v>
      </c>
      <c r="W4" s="10">
        <v>4</v>
      </c>
      <c r="X4" s="10">
        <v>2</v>
      </c>
      <c r="Y4" s="10">
        <v>6</v>
      </c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4">
        <f t="shared" ref="FN4:FN18" si="1">B4+N4+CT4</f>
        <v>8</v>
      </c>
      <c r="FO4" s="14">
        <f t="shared" ref="FO4:FO18" si="2">C4+O4+CU4</f>
        <v>0</v>
      </c>
      <c r="FP4" s="14">
        <f t="shared" ref="FP4:FP18" si="3">D4+P4+CV4</f>
        <v>0</v>
      </c>
      <c r="FQ4" s="14">
        <f t="shared" ref="FQ4:FQ18" si="4">E4+Q4+CW4</f>
        <v>0</v>
      </c>
      <c r="FR4" s="14">
        <f t="shared" ref="FR4:FR18" si="5">F4+R4+CX4</f>
        <v>2</v>
      </c>
      <c r="FS4" s="14">
        <f t="shared" ref="FS4:FS18" si="6">G4+S4+CY4</f>
        <v>8</v>
      </c>
      <c r="FT4" s="14">
        <f t="shared" ref="FT4:FT18" si="7">H4+T4+CZ4</f>
        <v>0</v>
      </c>
      <c r="FU4" s="14">
        <f t="shared" ref="FU4:FU18" si="8">I4+U4+DA4</f>
        <v>28</v>
      </c>
      <c r="FV4" s="14">
        <f t="shared" ref="FV4:FV18" si="9">J4+V4+DB4</f>
        <v>0</v>
      </c>
      <c r="FW4" s="14">
        <f t="shared" ref="FW4:FW18" si="10">K4+W4+DC4</f>
        <v>8</v>
      </c>
      <c r="FX4" s="14">
        <f t="shared" ref="FX4:FX18" si="11">L4+X4+DD4</f>
        <v>4</v>
      </c>
      <c r="FY4" s="14">
        <f t="shared" ref="FY4:FY18" si="12">M4+Y4+DE4</f>
        <v>12</v>
      </c>
      <c r="FZ4" s="14">
        <f t="shared" ref="FZ4:FZ18" si="13">SUM(FN4:FY4)</f>
        <v>70</v>
      </c>
    </row>
    <row r="5" spans="1:183" x14ac:dyDescent="0.25">
      <c r="A5" t="s">
        <v>23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4">
        <f t="shared" si="1"/>
        <v>0</v>
      </c>
      <c r="FO5" s="14">
        <f t="shared" si="2"/>
        <v>0</v>
      </c>
      <c r="FP5" s="14">
        <f t="shared" si="3"/>
        <v>0</v>
      </c>
      <c r="FQ5" s="14">
        <f t="shared" si="4"/>
        <v>0</v>
      </c>
      <c r="FR5" s="14">
        <f t="shared" si="5"/>
        <v>0</v>
      </c>
      <c r="FS5" s="14">
        <f t="shared" si="6"/>
        <v>0</v>
      </c>
      <c r="FT5" s="14">
        <f t="shared" si="7"/>
        <v>0</v>
      </c>
      <c r="FU5" s="14">
        <f t="shared" si="8"/>
        <v>0</v>
      </c>
      <c r="FV5" s="14">
        <f t="shared" si="9"/>
        <v>0</v>
      </c>
      <c r="FW5" s="14">
        <f t="shared" si="10"/>
        <v>0</v>
      </c>
      <c r="FX5" s="14">
        <f t="shared" si="11"/>
        <v>0</v>
      </c>
      <c r="FY5" s="14">
        <f t="shared" si="12"/>
        <v>0</v>
      </c>
      <c r="FZ5" s="14">
        <f t="shared" si="13"/>
        <v>0</v>
      </c>
    </row>
    <row r="6" spans="1:183" x14ac:dyDescent="0.25">
      <c r="A6" t="s">
        <v>59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4">
        <f t="shared" si="1"/>
        <v>0</v>
      </c>
      <c r="FO6" s="14">
        <f t="shared" si="2"/>
        <v>0</v>
      </c>
      <c r="FP6" s="14">
        <f t="shared" si="3"/>
        <v>0</v>
      </c>
      <c r="FQ6" s="14">
        <f t="shared" si="4"/>
        <v>0</v>
      </c>
      <c r="FR6" s="14">
        <f t="shared" si="5"/>
        <v>0</v>
      </c>
      <c r="FS6" s="14">
        <f t="shared" si="6"/>
        <v>0</v>
      </c>
      <c r="FT6" s="14">
        <f t="shared" si="7"/>
        <v>0</v>
      </c>
      <c r="FU6" s="14">
        <f t="shared" si="8"/>
        <v>0</v>
      </c>
      <c r="FV6" s="14">
        <f t="shared" si="9"/>
        <v>0</v>
      </c>
      <c r="FW6" s="14">
        <f t="shared" si="10"/>
        <v>0</v>
      </c>
      <c r="FX6" s="14">
        <f t="shared" si="11"/>
        <v>0</v>
      </c>
      <c r="FY6" s="14">
        <f t="shared" si="12"/>
        <v>0</v>
      </c>
      <c r="FZ6" s="14">
        <f t="shared" si="13"/>
        <v>0</v>
      </c>
    </row>
    <row r="7" spans="1:183" x14ac:dyDescent="0.25">
      <c r="A7" t="s">
        <v>30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4">
        <f t="shared" si="1"/>
        <v>0</v>
      </c>
      <c r="FO7" s="14">
        <f t="shared" si="2"/>
        <v>0</v>
      </c>
      <c r="FP7" s="14">
        <f t="shared" si="3"/>
        <v>0</v>
      </c>
      <c r="FQ7" s="14">
        <f t="shared" si="4"/>
        <v>0</v>
      </c>
      <c r="FR7" s="14">
        <f t="shared" si="5"/>
        <v>0</v>
      </c>
      <c r="FS7" s="14">
        <f t="shared" si="6"/>
        <v>0</v>
      </c>
      <c r="FT7" s="14">
        <f t="shared" si="7"/>
        <v>0</v>
      </c>
      <c r="FU7" s="14">
        <f t="shared" si="8"/>
        <v>0</v>
      </c>
      <c r="FV7" s="14">
        <f t="shared" si="9"/>
        <v>0</v>
      </c>
      <c r="FW7" s="14">
        <f t="shared" si="10"/>
        <v>0</v>
      </c>
      <c r="FX7" s="14">
        <f t="shared" si="11"/>
        <v>0</v>
      </c>
      <c r="FY7" s="14">
        <f t="shared" si="12"/>
        <v>0</v>
      </c>
      <c r="FZ7" s="14">
        <f t="shared" si="13"/>
        <v>0</v>
      </c>
    </row>
    <row r="8" spans="1:183" x14ac:dyDescent="0.25">
      <c r="A8" t="s">
        <v>24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4">
        <f t="shared" si="1"/>
        <v>0</v>
      </c>
      <c r="FO8" s="14">
        <f t="shared" si="2"/>
        <v>0</v>
      </c>
      <c r="FP8" s="14">
        <f t="shared" si="3"/>
        <v>0</v>
      </c>
      <c r="FQ8" s="14">
        <f t="shared" si="4"/>
        <v>0</v>
      </c>
      <c r="FR8" s="14">
        <f t="shared" si="5"/>
        <v>0</v>
      </c>
      <c r="FS8" s="14">
        <f t="shared" si="6"/>
        <v>0</v>
      </c>
      <c r="FT8" s="14">
        <f t="shared" si="7"/>
        <v>0</v>
      </c>
      <c r="FU8" s="14">
        <f t="shared" si="8"/>
        <v>0</v>
      </c>
      <c r="FV8" s="14">
        <f t="shared" si="9"/>
        <v>0</v>
      </c>
      <c r="FW8" s="14">
        <f t="shared" si="10"/>
        <v>0</v>
      </c>
      <c r="FX8" s="14">
        <f t="shared" si="11"/>
        <v>0</v>
      </c>
      <c r="FY8" s="14">
        <f t="shared" si="12"/>
        <v>0</v>
      </c>
      <c r="FZ8" s="14">
        <f t="shared" si="13"/>
        <v>0</v>
      </c>
    </row>
    <row r="9" spans="1:183" x14ac:dyDescent="0.25">
      <c r="A9" t="s">
        <v>25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4">
        <f t="shared" si="1"/>
        <v>0</v>
      </c>
      <c r="FO9" s="14">
        <f t="shared" si="2"/>
        <v>0</v>
      </c>
      <c r="FP9" s="14">
        <f t="shared" si="3"/>
        <v>0</v>
      </c>
      <c r="FQ9" s="14">
        <f t="shared" si="4"/>
        <v>0</v>
      </c>
      <c r="FR9" s="14">
        <f t="shared" si="5"/>
        <v>0</v>
      </c>
      <c r="FS9" s="14">
        <f t="shared" si="6"/>
        <v>0</v>
      </c>
      <c r="FT9" s="14">
        <f t="shared" si="7"/>
        <v>0</v>
      </c>
      <c r="FU9" s="14">
        <f t="shared" si="8"/>
        <v>0</v>
      </c>
      <c r="FV9" s="14">
        <f t="shared" si="9"/>
        <v>0</v>
      </c>
      <c r="FW9" s="14">
        <f t="shared" si="10"/>
        <v>0</v>
      </c>
      <c r="FX9" s="14">
        <f t="shared" si="11"/>
        <v>0</v>
      </c>
      <c r="FY9" s="14">
        <f t="shared" si="12"/>
        <v>0</v>
      </c>
      <c r="FZ9" s="14">
        <f t="shared" si="13"/>
        <v>0</v>
      </c>
    </row>
    <row r="10" spans="1:183" x14ac:dyDescent="0.25">
      <c r="A10" t="s">
        <v>26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4">
        <f t="shared" si="1"/>
        <v>0</v>
      </c>
      <c r="FO10" s="14">
        <f t="shared" si="2"/>
        <v>0</v>
      </c>
      <c r="FP10" s="14">
        <f t="shared" si="3"/>
        <v>0</v>
      </c>
      <c r="FQ10" s="14">
        <f t="shared" si="4"/>
        <v>0</v>
      </c>
      <c r="FR10" s="14">
        <f t="shared" si="5"/>
        <v>0</v>
      </c>
      <c r="FS10" s="14">
        <f t="shared" si="6"/>
        <v>0</v>
      </c>
      <c r="FT10" s="14">
        <f t="shared" si="7"/>
        <v>0</v>
      </c>
      <c r="FU10" s="14">
        <f t="shared" si="8"/>
        <v>0</v>
      </c>
      <c r="FV10" s="14">
        <f t="shared" si="9"/>
        <v>0</v>
      </c>
      <c r="FW10" s="14">
        <f t="shared" si="10"/>
        <v>0</v>
      </c>
      <c r="FX10" s="14">
        <f t="shared" si="11"/>
        <v>0</v>
      </c>
      <c r="FY10" s="14">
        <f t="shared" si="12"/>
        <v>0</v>
      </c>
      <c r="FZ10" s="14">
        <f t="shared" si="13"/>
        <v>0</v>
      </c>
    </row>
    <row r="11" spans="1:183" x14ac:dyDescent="0.25">
      <c r="A11" t="s">
        <v>27</v>
      </c>
      <c r="B11" s="10">
        <v>1</v>
      </c>
      <c r="C11" s="10">
        <v>0</v>
      </c>
      <c r="D11" s="10">
        <v>0</v>
      </c>
      <c r="E11" s="10">
        <v>0</v>
      </c>
      <c r="F11" s="10">
        <v>1</v>
      </c>
      <c r="G11" s="10">
        <v>4</v>
      </c>
      <c r="H11" s="10">
        <v>0</v>
      </c>
      <c r="I11" s="10">
        <v>5</v>
      </c>
      <c r="J11" s="10">
        <v>0</v>
      </c>
      <c r="K11" s="10">
        <v>0</v>
      </c>
      <c r="L11" s="10">
        <v>2</v>
      </c>
      <c r="M11" s="10">
        <v>0</v>
      </c>
      <c r="N11" s="10">
        <v>1</v>
      </c>
      <c r="O11" s="10">
        <v>0</v>
      </c>
      <c r="P11" s="10">
        <v>0</v>
      </c>
      <c r="Q11" s="10">
        <v>0</v>
      </c>
      <c r="R11" s="10">
        <v>1</v>
      </c>
      <c r="S11" s="10">
        <v>4</v>
      </c>
      <c r="T11" s="10">
        <v>0</v>
      </c>
      <c r="U11" s="10">
        <v>5</v>
      </c>
      <c r="V11" s="10">
        <v>0</v>
      </c>
      <c r="W11" s="10">
        <v>0</v>
      </c>
      <c r="X11" s="10">
        <v>2</v>
      </c>
      <c r="Y11" s="10">
        <v>0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4">
        <f t="shared" si="1"/>
        <v>2</v>
      </c>
      <c r="FO11" s="14">
        <f t="shared" si="2"/>
        <v>0</v>
      </c>
      <c r="FP11" s="14">
        <f t="shared" si="3"/>
        <v>0</v>
      </c>
      <c r="FQ11" s="14">
        <f t="shared" si="4"/>
        <v>0</v>
      </c>
      <c r="FR11" s="14">
        <f t="shared" si="5"/>
        <v>2</v>
      </c>
      <c r="FS11" s="14">
        <f t="shared" si="6"/>
        <v>8</v>
      </c>
      <c r="FT11" s="14">
        <f t="shared" si="7"/>
        <v>0</v>
      </c>
      <c r="FU11" s="14">
        <f t="shared" si="8"/>
        <v>10</v>
      </c>
      <c r="FV11" s="14">
        <f t="shared" si="9"/>
        <v>0</v>
      </c>
      <c r="FW11" s="14">
        <f t="shared" si="10"/>
        <v>0</v>
      </c>
      <c r="FX11" s="14">
        <f t="shared" si="11"/>
        <v>4</v>
      </c>
      <c r="FY11" s="14">
        <f t="shared" si="12"/>
        <v>0</v>
      </c>
      <c r="FZ11" s="14">
        <f t="shared" si="13"/>
        <v>26</v>
      </c>
    </row>
    <row r="12" spans="1:183" x14ac:dyDescent="0.25">
      <c r="A12" t="s">
        <v>31</v>
      </c>
      <c r="B12" s="10">
        <v>2</v>
      </c>
      <c r="C12" s="10">
        <v>0</v>
      </c>
      <c r="D12" s="10">
        <v>0</v>
      </c>
      <c r="E12" s="10">
        <v>0</v>
      </c>
      <c r="F12" s="10">
        <v>1</v>
      </c>
      <c r="G12" s="10">
        <v>1</v>
      </c>
      <c r="H12" s="10">
        <v>0</v>
      </c>
      <c r="I12" s="10">
        <v>9</v>
      </c>
      <c r="J12" s="10">
        <v>0</v>
      </c>
      <c r="K12" s="10">
        <v>0</v>
      </c>
      <c r="L12" s="10">
        <v>0</v>
      </c>
      <c r="M12" s="10">
        <v>2</v>
      </c>
      <c r="N12" s="10">
        <v>2</v>
      </c>
      <c r="O12" s="10">
        <v>0</v>
      </c>
      <c r="P12" s="10">
        <v>0</v>
      </c>
      <c r="Q12" s="10">
        <v>0</v>
      </c>
      <c r="R12" s="10">
        <v>1</v>
      </c>
      <c r="S12" s="10">
        <v>1</v>
      </c>
      <c r="T12" s="10">
        <v>0</v>
      </c>
      <c r="U12" s="10">
        <v>9</v>
      </c>
      <c r="V12" s="10">
        <v>0</v>
      </c>
      <c r="W12" s="10">
        <v>0</v>
      </c>
      <c r="X12" s="10">
        <v>0</v>
      </c>
      <c r="Y12" s="10">
        <v>2</v>
      </c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4">
        <f t="shared" si="1"/>
        <v>4</v>
      </c>
      <c r="FO12" s="14">
        <f t="shared" si="2"/>
        <v>0</v>
      </c>
      <c r="FP12" s="14">
        <f t="shared" si="3"/>
        <v>0</v>
      </c>
      <c r="FQ12" s="14">
        <f t="shared" si="4"/>
        <v>0</v>
      </c>
      <c r="FR12" s="14">
        <f t="shared" si="5"/>
        <v>2</v>
      </c>
      <c r="FS12" s="14">
        <f t="shared" si="6"/>
        <v>2</v>
      </c>
      <c r="FT12" s="14">
        <f t="shared" si="7"/>
        <v>0</v>
      </c>
      <c r="FU12" s="14">
        <f t="shared" si="8"/>
        <v>18</v>
      </c>
      <c r="FV12" s="14">
        <f t="shared" si="9"/>
        <v>0</v>
      </c>
      <c r="FW12" s="14">
        <f t="shared" si="10"/>
        <v>0</v>
      </c>
      <c r="FX12" s="14">
        <f t="shared" si="11"/>
        <v>0</v>
      </c>
      <c r="FY12" s="14">
        <f t="shared" si="12"/>
        <v>4</v>
      </c>
      <c r="FZ12" s="14">
        <f t="shared" si="13"/>
        <v>30</v>
      </c>
    </row>
    <row r="13" spans="1:183" x14ac:dyDescent="0.25">
      <c r="A13" t="s">
        <v>32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1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4">
        <f t="shared" si="1"/>
        <v>0</v>
      </c>
      <c r="FO13" s="14">
        <f t="shared" si="2"/>
        <v>0</v>
      </c>
      <c r="FP13" s="14">
        <f t="shared" si="3"/>
        <v>0</v>
      </c>
      <c r="FQ13" s="14">
        <f t="shared" si="4"/>
        <v>0</v>
      </c>
      <c r="FR13" s="14">
        <f t="shared" si="5"/>
        <v>0</v>
      </c>
      <c r="FS13" s="14">
        <f t="shared" si="6"/>
        <v>2</v>
      </c>
      <c r="FT13" s="14">
        <f t="shared" si="7"/>
        <v>0</v>
      </c>
      <c r="FU13" s="14">
        <f t="shared" si="8"/>
        <v>0</v>
      </c>
      <c r="FV13" s="14">
        <f t="shared" si="9"/>
        <v>0</v>
      </c>
      <c r="FW13" s="14">
        <f t="shared" si="10"/>
        <v>0</v>
      </c>
      <c r="FX13" s="14">
        <f t="shared" si="11"/>
        <v>0</v>
      </c>
      <c r="FY13" s="14">
        <f t="shared" si="12"/>
        <v>0</v>
      </c>
      <c r="FZ13" s="14">
        <f t="shared" si="13"/>
        <v>2</v>
      </c>
    </row>
    <row r="14" spans="1:183" x14ac:dyDescent="0.25">
      <c r="A14" t="s">
        <v>28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4">
        <f t="shared" si="1"/>
        <v>0</v>
      </c>
      <c r="FO14" s="14">
        <f t="shared" si="2"/>
        <v>0</v>
      </c>
      <c r="FP14" s="14">
        <f t="shared" si="3"/>
        <v>0</v>
      </c>
      <c r="FQ14" s="14">
        <f t="shared" si="4"/>
        <v>0</v>
      </c>
      <c r="FR14" s="14">
        <f t="shared" si="5"/>
        <v>0</v>
      </c>
      <c r="FS14" s="14">
        <f t="shared" si="6"/>
        <v>0</v>
      </c>
      <c r="FT14" s="14">
        <f t="shared" si="7"/>
        <v>0</v>
      </c>
      <c r="FU14" s="14">
        <f t="shared" si="8"/>
        <v>0</v>
      </c>
      <c r="FV14" s="14">
        <f t="shared" si="9"/>
        <v>0</v>
      </c>
      <c r="FW14" s="14">
        <f t="shared" si="10"/>
        <v>0</v>
      </c>
      <c r="FX14" s="14">
        <f t="shared" si="11"/>
        <v>0</v>
      </c>
      <c r="FY14" s="14">
        <f t="shared" si="12"/>
        <v>0</v>
      </c>
      <c r="FZ14" s="14">
        <f t="shared" si="13"/>
        <v>0</v>
      </c>
    </row>
    <row r="15" spans="1:183" x14ac:dyDescent="0.25">
      <c r="A15" t="s">
        <v>29</v>
      </c>
      <c r="B15" s="10">
        <v>1</v>
      </c>
      <c r="C15" s="10">
        <v>0</v>
      </c>
      <c r="D15" s="10">
        <v>0</v>
      </c>
      <c r="E15" s="10">
        <v>0</v>
      </c>
      <c r="F15" s="10">
        <v>0</v>
      </c>
      <c r="G15" s="10">
        <v>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1</v>
      </c>
      <c r="O15" s="10">
        <v>0</v>
      </c>
      <c r="P15" s="10">
        <v>0</v>
      </c>
      <c r="Q15" s="10">
        <v>0</v>
      </c>
      <c r="R15" s="10">
        <v>0</v>
      </c>
      <c r="S15" s="10">
        <v>1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4">
        <f t="shared" si="1"/>
        <v>2</v>
      </c>
      <c r="FO15" s="14">
        <f t="shared" si="2"/>
        <v>0</v>
      </c>
      <c r="FP15" s="14">
        <f t="shared" si="3"/>
        <v>0</v>
      </c>
      <c r="FQ15" s="14">
        <f t="shared" si="4"/>
        <v>0</v>
      </c>
      <c r="FR15" s="14">
        <f t="shared" si="5"/>
        <v>0</v>
      </c>
      <c r="FS15" s="14">
        <f t="shared" si="6"/>
        <v>2</v>
      </c>
      <c r="FT15" s="14">
        <f t="shared" si="7"/>
        <v>0</v>
      </c>
      <c r="FU15" s="14">
        <f t="shared" si="8"/>
        <v>0</v>
      </c>
      <c r="FV15" s="14">
        <f t="shared" si="9"/>
        <v>0</v>
      </c>
      <c r="FW15" s="14">
        <f t="shared" si="10"/>
        <v>0</v>
      </c>
      <c r="FX15" s="14">
        <f t="shared" si="11"/>
        <v>0</v>
      </c>
      <c r="FY15" s="14">
        <f t="shared" si="12"/>
        <v>0</v>
      </c>
      <c r="FZ15" s="14">
        <f t="shared" si="13"/>
        <v>4</v>
      </c>
    </row>
    <row r="16" spans="1:183" x14ac:dyDescent="0.25">
      <c r="A16" t="s">
        <v>33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4">
        <f t="shared" si="1"/>
        <v>0</v>
      </c>
      <c r="FO16" s="14">
        <f t="shared" si="2"/>
        <v>0</v>
      </c>
      <c r="FP16" s="14">
        <f t="shared" si="3"/>
        <v>0</v>
      </c>
      <c r="FQ16" s="14">
        <f t="shared" si="4"/>
        <v>0</v>
      </c>
      <c r="FR16" s="14">
        <f t="shared" si="5"/>
        <v>0</v>
      </c>
      <c r="FS16" s="14">
        <f t="shared" si="6"/>
        <v>0</v>
      </c>
      <c r="FT16" s="14">
        <f t="shared" si="7"/>
        <v>0</v>
      </c>
      <c r="FU16" s="14">
        <f t="shared" si="8"/>
        <v>0</v>
      </c>
      <c r="FV16" s="14">
        <f t="shared" si="9"/>
        <v>0</v>
      </c>
      <c r="FW16" s="14">
        <f t="shared" si="10"/>
        <v>0</v>
      </c>
      <c r="FX16" s="14">
        <f t="shared" si="11"/>
        <v>0</v>
      </c>
      <c r="FY16" s="14">
        <f t="shared" si="12"/>
        <v>0</v>
      </c>
      <c r="FZ16" s="14">
        <f t="shared" si="13"/>
        <v>0</v>
      </c>
    </row>
    <row r="17" spans="1:182" x14ac:dyDescent="0.25">
      <c r="A17" t="s">
        <v>34</v>
      </c>
      <c r="B17" s="10">
        <v>3</v>
      </c>
      <c r="C17" s="10">
        <v>0</v>
      </c>
      <c r="D17" s="10">
        <v>0</v>
      </c>
      <c r="E17" s="10">
        <v>0</v>
      </c>
      <c r="F17" s="10">
        <v>1</v>
      </c>
      <c r="G17" s="10">
        <v>1</v>
      </c>
      <c r="H17" s="10">
        <v>0</v>
      </c>
      <c r="I17" s="10">
        <v>3</v>
      </c>
      <c r="J17" s="10">
        <v>0</v>
      </c>
      <c r="K17" s="10">
        <v>4</v>
      </c>
      <c r="L17" s="10">
        <v>0</v>
      </c>
      <c r="M17" s="10">
        <v>5</v>
      </c>
      <c r="N17" s="10">
        <v>3</v>
      </c>
      <c r="O17" s="10">
        <v>0</v>
      </c>
      <c r="P17" s="10">
        <v>0</v>
      </c>
      <c r="Q17" s="10">
        <v>0</v>
      </c>
      <c r="R17" s="10">
        <v>1</v>
      </c>
      <c r="S17" s="10">
        <v>1</v>
      </c>
      <c r="T17" s="10">
        <v>0</v>
      </c>
      <c r="U17" s="10">
        <v>3</v>
      </c>
      <c r="V17" s="10">
        <v>0</v>
      </c>
      <c r="W17" s="10">
        <v>4</v>
      </c>
      <c r="X17" s="10">
        <v>0</v>
      </c>
      <c r="Y17" s="10">
        <v>5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4">
        <f t="shared" si="1"/>
        <v>6</v>
      </c>
      <c r="FO17" s="14">
        <f t="shared" si="2"/>
        <v>0</v>
      </c>
      <c r="FP17" s="14">
        <f t="shared" si="3"/>
        <v>0</v>
      </c>
      <c r="FQ17" s="14">
        <f t="shared" si="4"/>
        <v>0</v>
      </c>
      <c r="FR17" s="14">
        <f t="shared" si="5"/>
        <v>2</v>
      </c>
      <c r="FS17" s="14">
        <f t="shared" si="6"/>
        <v>2</v>
      </c>
      <c r="FT17" s="14">
        <f t="shared" si="7"/>
        <v>0</v>
      </c>
      <c r="FU17" s="14">
        <f t="shared" si="8"/>
        <v>6</v>
      </c>
      <c r="FV17" s="14">
        <f t="shared" si="9"/>
        <v>0</v>
      </c>
      <c r="FW17" s="14">
        <f t="shared" si="10"/>
        <v>8</v>
      </c>
      <c r="FX17" s="14">
        <f t="shared" si="11"/>
        <v>0</v>
      </c>
      <c r="FY17" s="14">
        <f t="shared" si="12"/>
        <v>10</v>
      </c>
      <c r="FZ17" s="14">
        <f t="shared" si="13"/>
        <v>34</v>
      </c>
    </row>
    <row r="18" spans="1:182" x14ac:dyDescent="0.25">
      <c r="A18" s="12" t="s">
        <v>17</v>
      </c>
      <c r="B18" s="10">
        <v>11</v>
      </c>
      <c r="C18" s="10">
        <v>0</v>
      </c>
      <c r="D18" s="10">
        <v>0</v>
      </c>
      <c r="E18" s="10">
        <v>0</v>
      </c>
      <c r="F18" s="10">
        <v>4</v>
      </c>
      <c r="G18" s="10">
        <v>12</v>
      </c>
      <c r="H18" s="10">
        <v>0</v>
      </c>
      <c r="I18" s="10">
        <v>31</v>
      </c>
      <c r="J18" s="10">
        <v>0</v>
      </c>
      <c r="K18" s="10">
        <v>8</v>
      </c>
      <c r="L18" s="10">
        <v>4</v>
      </c>
      <c r="M18" s="10">
        <v>13</v>
      </c>
      <c r="N18" s="10">
        <v>11</v>
      </c>
      <c r="O18" s="10">
        <v>0</v>
      </c>
      <c r="P18" s="10">
        <v>0</v>
      </c>
      <c r="Q18" s="10">
        <v>0</v>
      </c>
      <c r="R18" s="10">
        <v>4</v>
      </c>
      <c r="S18" s="10">
        <v>12</v>
      </c>
      <c r="T18" s="10">
        <v>0</v>
      </c>
      <c r="U18" s="10">
        <v>31</v>
      </c>
      <c r="V18" s="10">
        <v>0</v>
      </c>
      <c r="W18" s="10">
        <v>8</v>
      </c>
      <c r="X18" s="10">
        <v>4</v>
      </c>
      <c r="Y18" s="10">
        <v>13</v>
      </c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4">
        <f t="shared" si="1"/>
        <v>22</v>
      </c>
      <c r="FO18" s="14">
        <f t="shared" si="2"/>
        <v>0</v>
      </c>
      <c r="FP18" s="14">
        <f t="shared" si="3"/>
        <v>0</v>
      </c>
      <c r="FQ18" s="14">
        <f t="shared" si="4"/>
        <v>0</v>
      </c>
      <c r="FR18" s="14">
        <f t="shared" si="5"/>
        <v>8</v>
      </c>
      <c r="FS18" s="14">
        <f t="shared" si="6"/>
        <v>24</v>
      </c>
      <c r="FT18" s="14">
        <f t="shared" si="7"/>
        <v>0</v>
      </c>
      <c r="FU18" s="14">
        <f t="shared" si="8"/>
        <v>62</v>
      </c>
      <c r="FV18" s="14">
        <f t="shared" si="9"/>
        <v>0</v>
      </c>
      <c r="FW18" s="14">
        <f t="shared" si="10"/>
        <v>16</v>
      </c>
      <c r="FX18" s="14">
        <f t="shared" si="11"/>
        <v>8</v>
      </c>
      <c r="FY18" s="14">
        <f t="shared" si="12"/>
        <v>26</v>
      </c>
      <c r="FZ18" s="14">
        <f t="shared" si="13"/>
        <v>166</v>
      </c>
    </row>
  </sheetData>
  <mergeCells count="17">
    <mergeCell ref="A1:A2"/>
    <mergeCell ref="FN1:FX1"/>
    <mergeCell ref="FY1:GA1"/>
    <mergeCell ref="N1:Y1"/>
    <mergeCell ref="B1:M1"/>
    <mergeCell ref="Z1:AK1"/>
    <mergeCell ref="AL1:AW1"/>
    <mergeCell ref="AX1:BI1"/>
    <mergeCell ref="BJ1:BU1"/>
    <mergeCell ref="BV1:CG1"/>
    <mergeCell ref="CH1:CS1"/>
    <mergeCell ref="CT1:DE1"/>
    <mergeCell ref="FB1:FM1"/>
    <mergeCell ref="DF1:DQ1"/>
    <mergeCell ref="DR1:EC1"/>
    <mergeCell ref="ED1:EO1"/>
    <mergeCell ref="EP1:FA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01FEA-FD33-4BAD-BA42-88714AD831B6}">
  <sheetPr codeName="Planilha6"/>
  <dimension ref="A1:AZ19"/>
  <sheetViews>
    <sheetView zoomScaleNormal="100" workbookViewId="0">
      <selection activeCell="N3" sqref="N3:Y18"/>
    </sheetView>
  </sheetViews>
  <sheetFormatPr defaultRowHeight="15" x14ac:dyDescent="0.25"/>
  <cols>
    <col min="1" max="1" width="71.5703125" bestFit="1" customWidth="1"/>
    <col min="2" max="2" width="4" bestFit="1" customWidth="1"/>
    <col min="3" max="3" width="5" bestFit="1" customWidth="1"/>
    <col min="4" max="4" width="2.5703125" bestFit="1" customWidth="1"/>
    <col min="5" max="5" width="4.140625" bestFit="1" customWidth="1"/>
    <col min="6" max="6" width="5.28515625" bestFit="1" customWidth="1"/>
    <col min="7" max="7" width="6.140625" bestFit="1" customWidth="1"/>
    <col min="8" max="8" width="3.85546875" bestFit="1" customWidth="1"/>
    <col min="9" max="9" width="4.28515625" customWidth="1"/>
    <col min="10" max="10" width="5.85546875" bestFit="1" customWidth="1"/>
    <col min="11" max="11" width="5.28515625" bestFit="1" customWidth="1"/>
    <col min="12" max="12" width="4.42578125" bestFit="1" customWidth="1"/>
    <col min="13" max="13" width="5" bestFit="1" customWidth="1"/>
    <col min="14" max="14" width="4" bestFit="1" customWidth="1"/>
    <col min="15" max="15" width="5" bestFit="1" customWidth="1"/>
    <col min="16" max="16" width="2.5703125" bestFit="1" customWidth="1"/>
    <col min="17" max="17" width="4.140625" bestFit="1" customWidth="1"/>
    <col min="18" max="18" width="5.28515625" bestFit="1" customWidth="1"/>
    <col min="19" max="19" width="6.140625" bestFit="1" customWidth="1"/>
    <col min="20" max="20" width="3.85546875" bestFit="1" customWidth="1"/>
    <col min="21" max="21" width="4.28515625" bestFit="1" customWidth="1"/>
    <col min="22" max="22" width="5.85546875" bestFit="1" customWidth="1"/>
    <col min="23" max="23" width="5.28515625" customWidth="1"/>
    <col min="24" max="24" width="4.42578125" bestFit="1" customWidth="1"/>
    <col min="25" max="25" width="5.5703125" bestFit="1" customWidth="1"/>
    <col min="26" max="26" width="4" bestFit="1" customWidth="1"/>
    <col min="27" max="38" width="5.7109375" customWidth="1"/>
    <col min="39" max="39" width="4.28515625" customWidth="1"/>
    <col min="40" max="40" width="5.5703125" customWidth="1"/>
    <col min="41" max="41" width="4.140625" customWidth="1"/>
    <col min="42" max="42" width="5.28515625" customWidth="1"/>
    <col min="43" max="43" width="4" customWidth="1"/>
    <col min="44" max="44" width="5" customWidth="1"/>
    <col min="45" max="45" width="4.42578125" customWidth="1"/>
    <col min="46" max="46" width="6.140625" customWidth="1"/>
    <col min="47" max="47" width="3.85546875" customWidth="1"/>
    <col min="48" max="49" width="5.28515625" customWidth="1"/>
    <col min="50" max="51" width="6.7109375" customWidth="1"/>
  </cols>
  <sheetData>
    <row r="1" spans="1:39" x14ac:dyDescent="0.25">
      <c r="A1" s="21" t="s">
        <v>57</v>
      </c>
      <c r="B1" s="27" t="s">
        <v>58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8"/>
      <c r="N1" s="27" t="s">
        <v>69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8"/>
      <c r="Z1" s="23" t="s">
        <v>17</v>
      </c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6"/>
      <c r="AL1" s="26"/>
      <c r="AM1" s="26"/>
    </row>
    <row r="2" spans="1:39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5" t="s">
        <v>39</v>
      </c>
      <c r="AA2" s="15" t="s">
        <v>40</v>
      </c>
      <c r="AB2" s="15" t="s">
        <v>44</v>
      </c>
      <c r="AC2" s="15" t="s">
        <v>20</v>
      </c>
      <c r="AD2" s="15" t="s">
        <v>45</v>
      </c>
      <c r="AE2" s="15" t="s">
        <v>42</v>
      </c>
      <c r="AF2" s="15" t="s">
        <v>43</v>
      </c>
      <c r="AG2" s="15" t="s">
        <v>36</v>
      </c>
      <c r="AH2" s="15" t="s">
        <v>46</v>
      </c>
      <c r="AI2" s="15" t="s">
        <v>38</v>
      </c>
      <c r="AJ2" s="15" t="s">
        <v>41</v>
      </c>
      <c r="AK2" s="15" t="s">
        <v>37</v>
      </c>
      <c r="AL2" s="16" t="s">
        <v>17</v>
      </c>
    </row>
    <row r="3" spans="1:39" x14ac:dyDescent="0.25">
      <c r="A3" t="s">
        <v>21</v>
      </c>
      <c r="B3" s="10">
        <v>1</v>
      </c>
      <c r="C3" s="10">
        <v>4</v>
      </c>
      <c r="D3" s="10">
        <v>1</v>
      </c>
      <c r="E3" s="10">
        <v>5</v>
      </c>
      <c r="F3" s="10">
        <v>0</v>
      </c>
      <c r="G3" s="10">
        <v>2</v>
      </c>
      <c r="H3" s="10">
        <v>0</v>
      </c>
      <c r="I3" s="10">
        <v>0</v>
      </c>
      <c r="J3" s="10">
        <v>3</v>
      </c>
      <c r="K3" s="10">
        <v>0</v>
      </c>
      <c r="L3" s="10">
        <v>7</v>
      </c>
      <c r="M3" s="10">
        <v>0</v>
      </c>
      <c r="N3" s="10">
        <v>1</v>
      </c>
      <c r="O3" s="10">
        <v>4</v>
      </c>
      <c r="P3" s="10">
        <v>1</v>
      </c>
      <c r="Q3" s="10">
        <v>5</v>
      </c>
      <c r="R3" s="10">
        <v>0</v>
      </c>
      <c r="S3" s="10">
        <v>2</v>
      </c>
      <c r="T3" s="10">
        <v>0</v>
      </c>
      <c r="U3" s="10">
        <v>0</v>
      </c>
      <c r="V3" s="10">
        <v>3</v>
      </c>
      <c r="W3" s="10">
        <v>0</v>
      </c>
      <c r="X3" s="10">
        <v>7</v>
      </c>
      <c r="Y3" s="10">
        <v>0</v>
      </c>
      <c r="Z3" s="14">
        <f>B3+N3</f>
        <v>2</v>
      </c>
      <c r="AA3" s="14">
        <f t="shared" ref="AA3:AK18" si="0">C3+O3</f>
        <v>8</v>
      </c>
      <c r="AB3" s="14">
        <f t="shared" si="0"/>
        <v>2</v>
      </c>
      <c r="AC3" s="14">
        <f t="shared" si="0"/>
        <v>10</v>
      </c>
      <c r="AD3" s="14">
        <f t="shared" si="0"/>
        <v>0</v>
      </c>
      <c r="AE3" s="14">
        <f t="shared" si="0"/>
        <v>4</v>
      </c>
      <c r="AF3" s="14">
        <f t="shared" si="0"/>
        <v>0</v>
      </c>
      <c r="AG3" s="14">
        <f t="shared" si="0"/>
        <v>0</v>
      </c>
      <c r="AH3" s="14">
        <f t="shared" si="0"/>
        <v>6</v>
      </c>
      <c r="AI3" s="14">
        <f t="shared" si="0"/>
        <v>0</v>
      </c>
      <c r="AJ3" s="14">
        <f t="shared" si="0"/>
        <v>14</v>
      </c>
      <c r="AK3" s="14">
        <f t="shared" si="0"/>
        <v>0</v>
      </c>
      <c r="AL3" s="14">
        <f>SUM(Z3:AK3)</f>
        <v>46</v>
      </c>
    </row>
    <row r="4" spans="1:39" x14ac:dyDescent="0.25">
      <c r="A4" t="s">
        <v>22</v>
      </c>
      <c r="B4" s="10">
        <v>0</v>
      </c>
      <c r="C4" s="10">
        <v>0</v>
      </c>
      <c r="D4" s="10">
        <v>0</v>
      </c>
      <c r="E4" s="10">
        <v>0</v>
      </c>
      <c r="F4" s="10">
        <v>1</v>
      </c>
      <c r="G4" s="10">
        <v>1</v>
      </c>
      <c r="H4" s="10">
        <v>0</v>
      </c>
      <c r="I4" s="10">
        <v>3</v>
      </c>
      <c r="J4" s="10">
        <v>0</v>
      </c>
      <c r="K4" s="10">
        <v>5</v>
      </c>
      <c r="L4" s="10">
        <v>1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1</v>
      </c>
      <c r="S4" s="10">
        <v>1</v>
      </c>
      <c r="T4" s="10">
        <v>0</v>
      </c>
      <c r="U4" s="10">
        <v>3</v>
      </c>
      <c r="V4" s="10">
        <v>0</v>
      </c>
      <c r="W4" s="10">
        <v>5</v>
      </c>
      <c r="X4" s="10">
        <v>1</v>
      </c>
      <c r="Y4" s="10">
        <v>0</v>
      </c>
      <c r="Z4" s="14">
        <f t="shared" ref="Z4:Z18" si="1">B4+N4</f>
        <v>0</v>
      </c>
      <c r="AA4" s="14">
        <f t="shared" si="0"/>
        <v>0</v>
      </c>
      <c r="AB4" s="14">
        <f t="shared" si="0"/>
        <v>0</v>
      </c>
      <c r="AC4" s="14">
        <f t="shared" si="0"/>
        <v>0</v>
      </c>
      <c r="AD4" s="14">
        <f t="shared" si="0"/>
        <v>2</v>
      </c>
      <c r="AE4" s="14">
        <f t="shared" si="0"/>
        <v>2</v>
      </c>
      <c r="AF4" s="14">
        <f t="shared" si="0"/>
        <v>0</v>
      </c>
      <c r="AG4" s="14">
        <f t="shared" si="0"/>
        <v>6</v>
      </c>
      <c r="AH4" s="14">
        <f t="shared" si="0"/>
        <v>0</v>
      </c>
      <c r="AI4" s="14">
        <f t="shared" si="0"/>
        <v>10</v>
      </c>
      <c r="AJ4" s="14">
        <f t="shared" si="0"/>
        <v>2</v>
      </c>
      <c r="AK4" s="14">
        <f t="shared" si="0"/>
        <v>0</v>
      </c>
      <c r="AL4" s="14">
        <f t="shared" ref="AL4:AL18" si="2">SUM(Z4:AK4)</f>
        <v>22</v>
      </c>
    </row>
    <row r="5" spans="1:39" x14ac:dyDescent="0.25">
      <c r="A5" t="s">
        <v>23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4">
        <f t="shared" si="1"/>
        <v>0</v>
      </c>
      <c r="AA5" s="14">
        <f t="shared" si="0"/>
        <v>0</v>
      </c>
      <c r="AB5" s="14">
        <f t="shared" si="0"/>
        <v>0</v>
      </c>
      <c r="AC5" s="14">
        <f t="shared" si="0"/>
        <v>0</v>
      </c>
      <c r="AD5" s="14">
        <f t="shared" si="0"/>
        <v>0</v>
      </c>
      <c r="AE5" s="14">
        <f t="shared" si="0"/>
        <v>0</v>
      </c>
      <c r="AF5" s="14">
        <f t="shared" si="0"/>
        <v>0</v>
      </c>
      <c r="AG5" s="14">
        <f t="shared" si="0"/>
        <v>0</v>
      </c>
      <c r="AH5" s="14">
        <f t="shared" si="0"/>
        <v>0</v>
      </c>
      <c r="AI5" s="14">
        <f t="shared" si="0"/>
        <v>0</v>
      </c>
      <c r="AJ5" s="14">
        <f t="shared" si="0"/>
        <v>0</v>
      </c>
      <c r="AK5" s="14">
        <f t="shared" si="0"/>
        <v>0</v>
      </c>
      <c r="AL5" s="14">
        <f t="shared" si="2"/>
        <v>0</v>
      </c>
    </row>
    <row r="6" spans="1:39" x14ac:dyDescent="0.25">
      <c r="A6" t="s">
        <v>59</v>
      </c>
      <c r="B6" s="10">
        <v>0</v>
      </c>
      <c r="C6" s="10">
        <v>0</v>
      </c>
      <c r="D6" s="10">
        <v>0</v>
      </c>
      <c r="E6" s="10">
        <v>1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1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1</v>
      </c>
      <c r="Y6" s="10">
        <v>0</v>
      </c>
      <c r="Z6" s="14">
        <f t="shared" si="1"/>
        <v>0</v>
      </c>
      <c r="AA6" s="14">
        <f t="shared" si="0"/>
        <v>0</v>
      </c>
      <c r="AB6" s="14">
        <f t="shared" si="0"/>
        <v>0</v>
      </c>
      <c r="AC6" s="14">
        <f t="shared" si="0"/>
        <v>2</v>
      </c>
      <c r="AD6" s="14">
        <f t="shared" si="0"/>
        <v>0</v>
      </c>
      <c r="AE6" s="14">
        <f t="shared" si="0"/>
        <v>0</v>
      </c>
      <c r="AF6" s="14">
        <f t="shared" si="0"/>
        <v>0</v>
      </c>
      <c r="AG6" s="14">
        <f t="shared" si="0"/>
        <v>0</v>
      </c>
      <c r="AH6" s="14">
        <f t="shared" si="0"/>
        <v>0</v>
      </c>
      <c r="AI6" s="14">
        <f t="shared" si="0"/>
        <v>0</v>
      </c>
      <c r="AJ6" s="14">
        <f t="shared" si="0"/>
        <v>2</v>
      </c>
      <c r="AK6" s="14">
        <f t="shared" si="0"/>
        <v>0</v>
      </c>
      <c r="AL6" s="14">
        <f t="shared" si="2"/>
        <v>4</v>
      </c>
    </row>
    <row r="7" spans="1:39" x14ac:dyDescent="0.25">
      <c r="A7" t="s">
        <v>30</v>
      </c>
      <c r="B7" s="10">
        <v>0</v>
      </c>
      <c r="C7" s="10">
        <v>3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3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4">
        <f t="shared" si="1"/>
        <v>0</v>
      </c>
      <c r="AA7" s="14">
        <f t="shared" si="0"/>
        <v>6</v>
      </c>
      <c r="AB7" s="14">
        <f t="shared" si="0"/>
        <v>0</v>
      </c>
      <c r="AC7" s="14">
        <f t="shared" si="0"/>
        <v>0</v>
      </c>
      <c r="AD7" s="14">
        <f t="shared" si="0"/>
        <v>0</v>
      </c>
      <c r="AE7" s="14">
        <f t="shared" si="0"/>
        <v>0</v>
      </c>
      <c r="AF7" s="14">
        <f t="shared" si="0"/>
        <v>0</v>
      </c>
      <c r="AG7" s="14">
        <f t="shared" si="0"/>
        <v>0</v>
      </c>
      <c r="AH7" s="14">
        <f t="shared" si="0"/>
        <v>0</v>
      </c>
      <c r="AI7" s="14">
        <f t="shared" si="0"/>
        <v>0</v>
      </c>
      <c r="AJ7" s="14">
        <f t="shared" si="0"/>
        <v>0</v>
      </c>
      <c r="AK7" s="14">
        <f t="shared" si="0"/>
        <v>0</v>
      </c>
      <c r="AL7" s="14">
        <f t="shared" si="2"/>
        <v>6</v>
      </c>
    </row>
    <row r="8" spans="1:39" x14ac:dyDescent="0.25">
      <c r="A8" t="s">
        <v>24</v>
      </c>
      <c r="B8" s="10">
        <v>1</v>
      </c>
      <c r="C8" s="10">
        <v>5</v>
      </c>
      <c r="D8" s="10">
        <v>1</v>
      </c>
      <c r="E8" s="10">
        <v>4</v>
      </c>
      <c r="F8" s="10">
        <v>0</v>
      </c>
      <c r="G8" s="10">
        <v>2</v>
      </c>
      <c r="H8" s="10">
        <v>0</v>
      </c>
      <c r="I8" s="10">
        <v>0</v>
      </c>
      <c r="J8" s="10">
        <v>4</v>
      </c>
      <c r="K8" s="10">
        <v>0</v>
      </c>
      <c r="L8" s="10">
        <v>6</v>
      </c>
      <c r="M8" s="10">
        <v>0</v>
      </c>
      <c r="N8" s="10">
        <v>1</v>
      </c>
      <c r="O8" s="10">
        <v>5</v>
      </c>
      <c r="P8" s="10">
        <v>1</v>
      </c>
      <c r="Q8" s="10">
        <v>4</v>
      </c>
      <c r="R8" s="10">
        <v>0</v>
      </c>
      <c r="S8" s="10">
        <v>2</v>
      </c>
      <c r="T8" s="10">
        <v>0</v>
      </c>
      <c r="U8" s="10">
        <v>0</v>
      </c>
      <c r="V8" s="10">
        <v>4</v>
      </c>
      <c r="W8" s="10">
        <v>0</v>
      </c>
      <c r="X8" s="10">
        <v>6</v>
      </c>
      <c r="Y8" s="10">
        <v>0</v>
      </c>
      <c r="Z8" s="14">
        <f t="shared" si="1"/>
        <v>2</v>
      </c>
      <c r="AA8" s="14">
        <f t="shared" si="0"/>
        <v>10</v>
      </c>
      <c r="AB8" s="14">
        <f t="shared" si="0"/>
        <v>2</v>
      </c>
      <c r="AC8" s="14">
        <f t="shared" si="0"/>
        <v>8</v>
      </c>
      <c r="AD8" s="14">
        <f t="shared" si="0"/>
        <v>0</v>
      </c>
      <c r="AE8" s="14">
        <f t="shared" si="0"/>
        <v>4</v>
      </c>
      <c r="AF8" s="14">
        <f t="shared" si="0"/>
        <v>0</v>
      </c>
      <c r="AG8" s="14">
        <f t="shared" si="0"/>
        <v>0</v>
      </c>
      <c r="AH8" s="14">
        <f t="shared" si="0"/>
        <v>8</v>
      </c>
      <c r="AI8" s="14">
        <f t="shared" si="0"/>
        <v>0</v>
      </c>
      <c r="AJ8" s="14">
        <f t="shared" si="0"/>
        <v>12</v>
      </c>
      <c r="AK8" s="14">
        <f t="shared" si="0"/>
        <v>0</v>
      </c>
      <c r="AL8" s="14">
        <f t="shared" si="2"/>
        <v>46</v>
      </c>
    </row>
    <row r="9" spans="1:39" x14ac:dyDescent="0.25">
      <c r="A9" t="s">
        <v>25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4">
        <f t="shared" si="1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  <c r="AG9" s="14">
        <f t="shared" si="0"/>
        <v>0</v>
      </c>
      <c r="AH9" s="14">
        <f t="shared" si="0"/>
        <v>0</v>
      </c>
      <c r="AI9" s="14">
        <f t="shared" si="0"/>
        <v>0</v>
      </c>
      <c r="AJ9" s="14">
        <f t="shared" si="0"/>
        <v>0</v>
      </c>
      <c r="AK9" s="14">
        <f t="shared" si="0"/>
        <v>0</v>
      </c>
      <c r="AL9" s="14">
        <f t="shared" si="2"/>
        <v>0</v>
      </c>
    </row>
    <row r="10" spans="1:39" x14ac:dyDescent="0.25">
      <c r="A10" t="s">
        <v>26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4">
        <f t="shared" si="1"/>
        <v>0</v>
      </c>
      <c r="AA10" s="14">
        <f t="shared" si="0"/>
        <v>0</v>
      </c>
      <c r="AB10" s="14">
        <f t="shared" si="0"/>
        <v>0</v>
      </c>
      <c r="AC10" s="14">
        <f t="shared" si="0"/>
        <v>0</v>
      </c>
      <c r="AD10" s="14">
        <f t="shared" si="0"/>
        <v>0</v>
      </c>
      <c r="AE10" s="14">
        <f t="shared" si="0"/>
        <v>0</v>
      </c>
      <c r="AF10" s="14">
        <f t="shared" si="0"/>
        <v>0</v>
      </c>
      <c r="AG10" s="14">
        <f t="shared" si="0"/>
        <v>0</v>
      </c>
      <c r="AH10" s="14">
        <f t="shared" si="0"/>
        <v>0</v>
      </c>
      <c r="AI10" s="14">
        <f t="shared" si="0"/>
        <v>0</v>
      </c>
      <c r="AJ10" s="14">
        <f t="shared" si="0"/>
        <v>0</v>
      </c>
      <c r="AK10" s="14">
        <f t="shared" si="0"/>
        <v>0</v>
      </c>
      <c r="AL10" s="14">
        <f t="shared" si="2"/>
        <v>0</v>
      </c>
    </row>
    <row r="11" spans="1:39" x14ac:dyDescent="0.25">
      <c r="A11" t="s">
        <v>27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1</v>
      </c>
      <c r="J11" s="10">
        <v>0</v>
      </c>
      <c r="K11" s="10">
        <v>1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1</v>
      </c>
      <c r="V11" s="10">
        <v>0</v>
      </c>
      <c r="W11" s="10">
        <v>1</v>
      </c>
      <c r="X11" s="10">
        <v>0</v>
      </c>
      <c r="Y11" s="10">
        <v>0</v>
      </c>
      <c r="Z11" s="14">
        <f t="shared" si="1"/>
        <v>0</v>
      </c>
      <c r="AA11" s="14">
        <f t="shared" si="0"/>
        <v>0</v>
      </c>
      <c r="AB11" s="14">
        <f t="shared" si="0"/>
        <v>0</v>
      </c>
      <c r="AC11" s="14">
        <f t="shared" si="0"/>
        <v>0</v>
      </c>
      <c r="AD11" s="14">
        <f t="shared" si="0"/>
        <v>0</v>
      </c>
      <c r="AE11" s="14">
        <f t="shared" si="0"/>
        <v>0</v>
      </c>
      <c r="AF11" s="14">
        <f t="shared" si="0"/>
        <v>0</v>
      </c>
      <c r="AG11" s="14">
        <f t="shared" si="0"/>
        <v>2</v>
      </c>
      <c r="AH11" s="14">
        <f t="shared" si="0"/>
        <v>0</v>
      </c>
      <c r="AI11" s="14">
        <f t="shared" si="0"/>
        <v>2</v>
      </c>
      <c r="AJ11" s="14">
        <f t="shared" si="0"/>
        <v>0</v>
      </c>
      <c r="AK11" s="14">
        <f t="shared" si="0"/>
        <v>0</v>
      </c>
      <c r="AL11" s="14">
        <f t="shared" si="2"/>
        <v>4</v>
      </c>
    </row>
    <row r="12" spans="1:39" x14ac:dyDescent="0.25">
      <c r="A12" t="s">
        <v>31</v>
      </c>
      <c r="B12" s="10">
        <v>0</v>
      </c>
      <c r="C12" s="10">
        <v>0</v>
      </c>
      <c r="D12" s="10">
        <v>0</v>
      </c>
      <c r="E12" s="10">
        <v>0</v>
      </c>
      <c r="F12" s="10">
        <v>2</v>
      </c>
      <c r="G12" s="10">
        <v>1</v>
      </c>
      <c r="H12" s="10">
        <v>0</v>
      </c>
      <c r="I12" s="10">
        <v>1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2</v>
      </c>
      <c r="S12" s="10">
        <v>1</v>
      </c>
      <c r="T12" s="10">
        <v>0</v>
      </c>
      <c r="U12" s="10">
        <v>1</v>
      </c>
      <c r="V12" s="10">
        <v>0</v>
      </c>
      <c r="W12" s="10">
        <v>0</v>
      </c>
      <c r="X12" s="10">
        <v>0</v>
      </c>
      <c r="Y12" s="10">
        <v>0</v>
      </c>
      <c r="Z12" s="14">
        <f t="shared" si="1"/>
        <v>0</v>
      </c>
      <c r="AA12" s="14">
        <f t="shared" si="0"/>
        <v>0</v>
      </c>
      <c r="AB12" s="14">
        <f t="shared" si="0"/>
        <v>0</v>
      </c>
      <c r="AC12" s="14">
        <f t="shared" si="0"/>
        <v>0</v>
      </c>
      <c r="AD12" s="14">
        <f t="shared" si="0"/>
        <v>4</v>
      </c>
      <c r="AE12" s="14">
        <f t="shared" si="0"/>
        <v>2</v>
      </c>
      <c r="AF12" s="14">
        <f t="shared" si="0"/>
        <v>0</v>
      </c>
      <c r="AG12" s="14">
        <f t="shared" si="0"/>
        <v>2</v>
      </c>
      <c r="AH12" s="14">
        <f t="shared" si="0"/>
        <v>0</v>
      </c>
      <c r="AI12" s="14">
        <f t="shared" si="0"/>
        <v>0</v>
      </c>
      <c r="AJ12" s="14">
        <f t="shared" si="0"/>
        <v>0</v>
      </c>
      <c r="AK12" s="14">
        <f t="shared" si="0"/>
        <v>0</v>
      </c>
      <c r="AL12" s="14">
        <f t="shared" si="2"/>
        <v>8</v>
      </c>
    </row>
    <row r="13" spans="1:39" x14ac:dyDescent="0.25">
      <c r="A13" t="s">
        <v>32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1</v>
      </c>
      <c r="Z13" s="14">
        <f t="shared" si="1"/>
        <v>0</v>
      </c>
      <c r="AA13" s="14">
        <f t="shared" si="0"/>
        <v>0</v>
      </c>
      <c r="AB13" s="14">
        <f t="shared" si="0"/>
        <v>0</v>
      </c>
      <c r="AC13" s="14">
        <f t="shared" si="0"/>
        <v>0</v>
      </c>
      <c r="AD13" s="14">
        <f t="shared" si="0"/>
        <v>0</v>
      </c>
      <c r="AE13" s="14">
        <f t="shared" si="0"/>
        <v>0</v>
      </c>
      <c r="AF13" s="14">
        <f t="shared" si="0"/>
        <v>0</v>
      </c>
      <c r="AG13" s="14">
        <f t="shared" si="0"/>
        <v>0</v>
      </c>
      <c r="AH13" s="14">
        <f t="shared" si="0"/>
        <v>0</v>
      </c>
      <c r="AI13" s="14">
        <f t="shared" si="0"/>
        <v>0</v>
      </c>
      <c r="AJ13" s="14">
        <f t="shared" si="0"/>
        <v>0</v>
      </c>
      <c r="AK13" s="14">
        <f t="shared" si="0"/>
        <v>2</v>
      </c>
      <c r="AL13" s="14">
        <f t="shared" si="2"/>
        <v>2</v>
      </c>
    </row>
    <row r="14" spans="1:39" x14ac:dyDescent="0.25">
      <c r="A14" t="s">
        <v>28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4">
        <f t="shared" si="1"/>
        <v>0</v>
      </c>
      <c r="AA14" s="14">
        <f t="shared" si="0"/>
        <v>0</v>
      </c>
      <c r="AB14" s="14">
        <f t="shared" si="0"/>
        <v>0</v>
      </c>
      <c r="AC14" s="14">
        <f t="shared" si="0"/>
        <v>0</v>
      </c>
      <c r="AD14" s="14">
        <f t="shared" si="0"/>
        <v>0</v>
      </c>
      <c r="AE14" s="14">
        <f t="shared" si="0"/>
        <v>0</v>
      </c>
      <c r="AF14" s="14">
        <f t="shared" si="0"/>
        <v>0</v>
      </c>
      <c r="AG14" s="14">
        <f t="shared" si="0"/>
        <v>0</v>
      </c>
      <c r="AH14" s="14">
        <f t="shared" si="0"/>
        <v>0</v>
      </c>
      <c r="AI14" s="14">
        <f t="shared" si="0"/>
        <v>0</v>
      </c>
      <c r="AJ14" s="14">
        <f t="shared" si="0"/>
        <v>0</v>
      </c>
      <c r="AK14" s="14">
        <f t="shared" si="0"/>
        <v>0</v>
      </c>
      <c r="AL14" s="14">
        <f t="shared" si="2"/>
        <v>0</v>
      </c>
    </row>
    <row r="15" spans="1:39" x14ac:dyDescent="0.25">
      <c r="A15" t="s">
        <v>29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4">
        <f t="shared" si="1"/>
        <v>0</v>
      </c>
      <c r="AA15" s="14">
        <f t="shared" si="0"/>
        <v>0</v>
      </c>
      <c r="AB15" s="14">
        <f t="shared" si="0"/>
        <v>0</v>
      </c>
      <c r="AC15" s="14">
        <f t="shared" si="0"/>
        <v>0</v>
      </c>
      <c r="AD15" s="14">
        <f t="shared" si="0"/>
        <v>0</v>
      </c>
      <c r="AE15" s="14">
        <f t="shared" si="0"/>
        <v>0</v>
      </c>
      <c r="AF15" s="14">
        <f t="shared" si="0"/>
        <v>0</v>
      </c>
      <c r="AG15" s="14">
        <f t="shared" si="0"/>
        <v>0</v>
      </c>
      <c r="AH15" s="14">
        <f t="shared" si="0"/>
        <v>0</v>
      </c>
      <c r="AI15" s="14">
        <f t="shared" si="0"/>
        <v>0</v>
      </c>
      <c r="AJ15" s="14">
        <f t="shared" si="0"/>
        <v>0</v>
      </c>
      <c r="AK15" s="14">
        <f t="shared" si="0"/>
        <v>0</v>
      </c>
      <c r="AL15" s="14">
        <f t="shared" si="2"/>
        <v>0</v>
      </c>
    </row>
    <row r="16" spans="1:39" x14ac:dyDescent="0.25">
      <c r="A16" t="s">
        <v>33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4">
        <f t="shared" si="1"/>
        <v>0</v>
      </c>
      <c r="AA16" s="14">
        <f t="shared" si="0"/>
        <v>0</v>
      </c>
      <c r="AB16" s="14">
        <f t="shared" si="0"/>
        <v>0</v>
      </c>
      <c r="AC16" s="14">
        <f t="shared" si="0"/>
        <v>0</v>
      </c>
      <c r="AD16" s="14">
        <f t="shared" si="0"/>
        <v>0</v>
      </c>
      <c r="AE16" s="14">
        <f t="shared" si="0"/>
        <v>0</v>
      </c>
      <c r="AF16" s="14">
        <f t="shared" si="0"/>
        <v>0</v>
      </c>
      <c r="AG16" s="14">
        <f t="shared" si="0"/>
        <v>0</v>
      </c>
      <c r="AH16" s="14">
        <f t="shared" si="0"/>
        <v>0</v>
      </c>
      <c r="AI16" s="14">
        <f t="shared" si="0"/>
        <v>0</v>
      </c>
      <c r="AJ16" s="14">
        <f t="shared" si="0"/>
        <v>0</v>
      </c>
      <c r="AK16" s="14">
        <f t="shared" si="0"/>
        <v>0</v>
      </c>
      <c r="AL16" s="14">
        <f t="shared" si="2"/>
        <v>0</v>
      </c>
    </row>
    <row r="17" spans="1:52" x14ac:dyDescent="0.25">
      <c r="A17" t="s">
        <v>34</v>
      </c>
      <c r="B17" s="10">
        <v>0</v>
      </c>
      <c r="C17" s="10">
        <v>0</v>
      </c>
      <c r="D17" s="10">
        <v>0</v>
      </c>
      <c r="E17" s="10">
        <v>0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R17" s="10">
        <v>1</v>
      </c>
      <c r="S17" s="10">
        <v>0</v>
      </c>
      <c r="T17" s="10">
        <v>0</v>
      </c>
      <c r="U17" s="10">
        <v>0</v>
      </c>
      <c r="V17" s="10">
        <v>0</v>
      </c>
      <c r="W17" s="10">
        <v>1</v>
      </c>
      <c r="X17" s="10">
        <v>1</v>
      </c>
      <c r="Y17" s="10">
        <v>1</v>
      </c>
      <c r="Z17" s="14">
        <f t="shared" si="1"/>
        <v>0</v>
      </c>
      <c r="AA17" s="14">
        <f t="shared" si="0"/>
        <v>0</v>
      </c>
      <c r="AB17" s="14">
        <f t="shared" si="0"/>
        <v>0</v>
      </c>
      <c r="AC17" s="14">
        <f t="shared" si="0"/>
        <v>0</v>
      </c>
      <c r="AD17" s="14">
        <f t="shared" si="0"/>
        <v>2</v>
      </c>
      <c r="AE17" s="14">
        <f t="shared" si="0"/>
        <v>0</v>
      </c>
      <c r="AF17" s="14">
        <f t="shared" si="0"/>
        <v>0</v>
      </c>
      <c r="AG17" s="14">
        <f t="shared" si="0"/>
        <v>0</v>
      </c>
      <c r="AH17" s="14">
        <f t="shared" si="0"/>
        <v>0</v>
      </c>
      <c r="AI17" s="14">
        <f t="shared" si="0"/>
        <v>2</v>
      </c>
      <c r="AJ17" s="14">
        <f t="shared" si="0"/>
        <v>2</v>
      </c>
      <c r="AK17" s="14">
        <f t="shared" si="0"/>
        <v>2</v>
      </c>
      <c r="AL17" s="14">
        <f t="shared" si="2"/>
        <v>8</v>
      </c>
    </row>
    <row r="18" spans="1:52" x14ac:dyDescent="0.25">
      <c r="A18" s="12" t="s">
        <v>17</v>
      </c>
      <c r="B18" s="10">
        <v>2</v>
      </c>
      <c r="C18" s="10">
        <v>12</v>
      </c>
      <c r="D18" s="10">
        <v>2</v>
      </c>
      <c r="E18" s="10">
        <v>10</v>
      </c>
      <c r="F18" s="10">
        <v>4</v>
      </c>
      <c r="G18" s="10">
        <v>6</v>
      </c>
      <c r="H18" s="10">
        <v>0</v>
      </c>
      <c r="I18" s="10">
        <v>5</v>
      </c>
      <c r="J18" s="10">
        <v>7</v>
      </c>
      <c r="K18" s="10">
        <v>7</v>
      </c>
      <c r="L18" s="10">
        <v>16</v>
      </c>
      <c r="M18" s="10">
        <v>2</v>
      </c>
      <c r="N18" s="10">
        <v>2</v>
      </c>
      <c r="O18" s="10">
        <v>12</v>
      </c>
      <c r="P18" s="10">
        <v>2</v>
      </c>
      <c r="Q18" s="10">
        <v>10</v>
      </c>
      <c r="R18" s="10">
        <v>4</v>
      </c>
      <c r="S18" s="10">
        <v>6</v>
      </c>
      <c r="T18" s="10">
        <v>0</v>
      </c>
      <c r="U18" s="10">
        <v>5</v>
      </c>
      <c r="V18" s="10">
        <v>7</v>
      </c>
      <c r="W18" s="10">
        <v>7</v>
      </c>
      <c r="X18" s="10">
        <v>16</v>
      </c>
      <c r="Y18" s="10">
        <v>2</v>
      </c>
      <c r="Z18" s="14">
        <f t="shared" si="1"/>
        <v>4</v>
      </c>
      <c r="AA18" s="14">
        <f t="shared" si="0"/>
        <v>24</v>
      </c>
      <c r="AB18" s="14">
        <f t="shared" si="0"/>
        <v>4</v>
      </c>
      <c r="AC18" s="14">
        <f t="shared" si="0"/>
        <v>20</v>
      </c>
      <c r="AD18" s="14">
        <f t="shared" si="0"/>
        <v>8</v>
      </c>
      <c r="AE18" s="14">
        <f t="shared" si="0"/>
        <v>12</v>
      </c>
      <c r="AF18" s="14">
        <f t="shared" si="0"/>
        <v>0</v>
      </c>
      <c r="AG18" s="14">
        <f t="shared" si="0"/>
        <v>10</v>
      </c>
      <c r="AH18" s="14">
        <f t="shared" si="0"/>
        <v>14</v>
      </c>
      <c r="AI18" s="14">
        <f t="shared" si="0"/>
        <v>14</v>
      </c>
      <c r="AJ18" s="14">
        <f t="shared" si="0"/>
        <v>32</v>
      </c>
      <c r="AK18" s="14">
        <f t="shared" si="0"/>
        <v>4</v>
      </c>
      <c r="AL18" s="14">
        <f t="shared" si="2"/>
        <v>146</v>
      </c>
    </row>
    <row r="19" spans="1:52" x14ac:dyDescent="0.25">
      <c r="AZ19" s="13"/>
    </row>
  </sheetData>
  <mergeCells count="5">
    <mergeCell ref="AK1:AM1"/>
    <mergeCell ref="A1:A2"/>
    <mergeCell ref="B1:M1"/>
    <mergeCell ref="N1:Y1"/>
    <mergeCell ref="Z1:AJ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2582-B9E4-490D-9BE6-6F2CD840584D}">
  <sheetPr codeName="Planilha7"/>
  <dimension ref="A1:AY19"/>
  <sheetViews>
    <sheetView tabSelected="1" zoomScaleNormal="100" workbookViewId="0">
      <selection activeCell="N3" sqref="N3:Y18"/>
    </sheetView>
  </sheetViews>
  <sheetFormatPr defaultRowHeight="15" x14ac:dyDescent="0.25"/>
  <cols>
    <col min="1" max="1" width="71.5703125" bestFit="1" customWidth="1"/>
    <col min="2" max="2" width="4" bestFit="1" customWidth="1"/>
    <col min="3" max="3" width="5" bestFit="1" customWidth="1"/>
    <col min="4" max="4" width="2.5703125" bestFit="1" customWidth="1"/>
    <col min="5" max="5" width="4.140625" bestFit="1" customWidth="1"/>
    <col min="6" max="6" width="5.28515625" bestFit="1" customWidth="1"/>
    <col min="7" max="7" width="6.140625" bestFit="1" customWidth="1"/>
    <col min="8" max="8" width="3.85546875" bestFit="1" customWidth="1"/>
    <col min="9" max="9" width="4.28515625" bestFit="1" customWidth="1"/>
    <col min="10" max="10" width="5.85546875" bestFit="1" customWidth="1"/>
    <col min="11" max="11" width="5.28515625" bestFit="1" customWidth="1"/>
    <col min="12" max="12" width="4.42578125" bestFit="1" customWidth="1"/>
    <col min="13" max="13" width="5" bestFit="1" customWidth="1"/>
    <col min="14" max="14" width="4" bestFit="1" customWidth="1"/>
    <col min="15" max="15" width="5" bestFit="1" customWidth="1"/>
    <col min="16" max="16" width="2.5703125" bestFit="1" customWidth="1"/>
    <col min="17" max="17" width="4.140625" bestFit="1" customWidth="1"/>
    <col min="18" max="18" width="5.28515625" bestFit="1" customWidth="1"/>
    <col min="19" max="19" width="6.140625" bestFit="1" customWidth="1"/>
    <col min="20" max="20" width="3.85546875" bestFit="1" customWidth="1"/>
    <col min="21" max="21" width="4.28515625" bestFit="1" customWidth="1"/>
    <col min="22" max="22" width="5.85546875" bestFit="1" customWidth="1"/>
    <col min="23" max="23" width="5.28515625" bestFit="1" customWidth="1"/>
    <col min="24" max="24" width="4.42578125" bestFit="1" customWidth="1"/>
    <col min="25" max="25" width="5.5703125" bestFit="1" customWidth="1"/>
    <col min="26" max="26" width="4" bestFit="1" customWidth="1"/>
    <col min="27" max="27" width="5" bestFit="1" customWidth="1"/>
    <col min="28" max="28" width="2.5703125" bestFit="1" customWidth="1"/>
    <col min="29" max="29" width="4.140625" bestFit="1" customWidth="1"/>
    <col min="30" max="30" width="5.28515625" bestFit="1" customWidth="1"/>
    <col min="31" max="31" width="6.140625" bestFit="1" customWidth="1"/>
    <col min="32" max="32" width="3.85546875" bestFit="1" customWidth="1"/>
    <col min="33" max="33" width="4.28515625" bestFit="1" customWidth="1"/>
    <col min="34" max="34" width="5.85546875" bestFit="1" customWidth="1"/>
    <col min="35" max="35" width="5.28515625" bestFit="1" customWidth="1"/>
    <col min="36" max="36" width="4.42578125" bestFit="1" customWidth="1"/>
    <col min="37" max="37" width="5.5703125" bestFit="1" customWidth="1"/>
    <col min="38" max="39" width="5.28515625" customWidth="1"/>
    <col min="40" max="40" width="6.7109375" customWidth="1"/>
  </cols>
  <sheetData>
    <row r="1" spans="1:51" x14ac:dyDescent="0.25">
      <c r="A1" s="21" t="s">
        <v>57</v>
      </c>
      <c r="B1" s="27" t="s">
        <v>58</v>
      </c>
      <c r="C1" s="26"/>
      <c r="D1" s="26"/>
      <c r="E1" s="26"/>
      <c r="F1" s="26"/>
      <c r="G1" s="26"/>
      <c r="H1" s="26"/>
      <c r="I1" s="26"/>
      <c r="J1" s="26"/>
      <c r="K1" s="26"/>
      <c r="L1" s="26"/>
      <c r="M1" s="28"/>
      <c r="N1" s="27" t="s">
        <v>69</v>
      </c>
      <c r="O1" s="26"/>
      <c r="P1" s="26"/>
      <c r="Q1" s="26"/>
      <c r="R1" s="26"/>
      <c r="S1" s="26"/>
      <c r="T1" s="26"/>
      <c r="U1" s="26"/>
      <c r="V1" s="26"/>
      <c r="W1" s="26"/>
      <c r="X1" s="26"/>
      <c r="Y1" s="28"/>
      <c r="Z1" s="27" t="s">
        <v>70</v>
      </c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17"/>
      <c r="AL1" s="23" t="s">
        <v>17</v>
      </c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6"/>
      <c r="AX1" s="26"/>
      <c r="AY1" s="26"/>
    </row>
    <row r="2" spans="1:51" x14ac:dyDescent="0.25">
      <c r="A2" s="22"/>
      <c r="B2" s="10" t="s">
        <v>39</v>
      </c>
      <c r="C2" s="10" t="s">
        <v>40</v>
      </c>
      <c r="D2" s="10" t="s">
        <v>44</v>
      </c>
      <c r="E2" s="10" t="s">
        <v>20</v>
      </c>
      <c r="F2" s="10" t="s">
        <v>45</v>
      </c>
      <c r="G2" s="10" t="s">
        <v>42</v>
      </c>
      <c r="H2" s="10" t="s">
        <v>43</v>
      </c>
      <c r="I2" s="10" t="s">
        <v>36</v>
      </c>
      <c r="J2" s="10" t="s">
        <v>46</v>
      </c>
      <c r="K2" s="10" t="s">
        <v>38</v>
      </c>
      <c r="L2" s="10" t="s">
        <v>41</v>
      </c>
      <c r="M2" s="10" t="s">
        <v>64</v>
      </c>
      <c r="N2" s="10" t="s">
        <v>39</v>
      </c>
      <c r="O2" s="10" t="s">
        <v>40</v>
      </c>
      <c r="P2" s="10" t="s">
        <v>44</v>
      </c>
      <c r="Q2" s="10" t="s">
        <v>20</v>
      </c>
      <c r="R2" s="10" t="s">
        <v>45</v>
      </c>
      <c r="S2" s="10" t="s">
        <v>42</v>
      </c>
      <c r="T2" s="10" t="s">
        <v>43</v>
      </c>
      <c r="U2" s="10" t="s">
        <v>36</v>
      </c>
      <c r="V2" s="10" t="s">
        <v>46</v>
      </c>
      <c r="W2" s="10" t="s">
        <v>38</v>
      </c>
      <c r="X2" s="10" t="s">
        <v>41</v>
      </c>
      <c r="Y2" s="10" t="s">
        <v>37</v>
      </c>
      <c r="Z2" s="10" t="s">
        <v>39</v>
      </c>
      <c r="AA2" s="10" t="s">
        <v>40</v>
      </c>
      <c r="AB2" s="10" t="s">
        <v>44</v>
      </c>
      <c r="AC2" s="10" t="s">
        <v>20</v>
      </c>
      <c r="AD2" s="10" t="s">
        <v>45</v>
      </c>
      <c r="AE2" s="10" t="s">
        <v>42</v>
      </c>
      <c r="AF2" s="10" t="s">
        <v>43</v>
      </c>
      <c r="AG2" s="10" t="s">
        <v>36</v>
      </c>
      <c r="AH2" s="10" t="s">
        <v>46</v>
      </c>
      <c r="AI2" s="10" t="s">
        <v>38</v>
      </c>
      <c r="AJ2" s="10" t="s">
        <v>41</v>
      </c>
      <c r="AK2" s="10" t="s">
        <v>37</v>
      </c>
      <c r="AL2" s="15" t="s">
        <v>39</v>
      </c>
      <c r="AM2" s="15" t="s">
        <v>40</v>
      </c>
      <c r="AN2" s="15" t="s">
        <v>44</v>
      </c>
      <c r="AO2" s="15" t="s">
        <v>20</v>
      </c>
      <c r="AP2" s="15" t="s">
        <v>45</v>
      </c>
      <c r="AQ2" s="15" t="s">
        <v>42</v>
      </c>
      <c r="AR2" s="15" t="s">
        <v>43</v>
      </c>
      <c r="AS2" s="15" t="s">
        <v>36</v>
      </c>
      <c r="AT2" s="15" t="s">
        <v>46</v>
      </c>
      <c r="AU2" s="15" t="s">
        <v>38</v>
      </c>
      <c r="AV2" s="15" t="s">
        <v>41</v>
      </c>
      <c r="AW2" s="15" t="s">
        <v>37</v>
      </c>
      <c r="AX2" s="16" t="s">
        <v>17</v>
      </c>
    </row>
    <row r="3" spans="1:51" x14ac:dyDescent="0.25">
      <c r="A3" t="s">
        <v>21</v>
      </c>
      <c r="B3" s="10">
        <v>0</v>
      </c>
      <c r="C3" s="10">
        <v>0</v>
      </c>
      <c r="D3" s="10">
        <v>5</v>
      </c>
      <c r="E3" s="10">
        <v>2</v>
      </c>
      <c r="F3" s="10">
        <v>1</v>
      </c>
      <c r="G3" s="10">
        <v>2</v>
      </c>
      <c r="H3" s="10">
        <v>0</v>
      </c>
      <c r="I3" s="10">
        <v>0</v>
      </c>
      <c r="J3" s="10">
        <v>0</v>
      </c>
      <c r="K3" s="10">
        <v>3</v>
      </c>
      <c r="L3" s="10">
        <v>1</v>
      </c>
      <c r="M3" s="10">
        <v>0</v>
      </c>
      <c r="N3" s="10">
        <v>0</v>
      </c>
      <c r="O3" s="10">
        <v>0</v>
      </c>
      <c r="P3" s="10">
        <v>5</v>
      </c>
      <c r="Q3" s="10">
        <v>2</v>
      </c>
      <c r="R3" s="10">
        <v>1</v>
      </c>
      <c r="S3" s="10">
        <v>2</v>
      </c>
      <c r="T3" s="10">
        <v>0</v>
      </c>
      <c r="U3" s="10">
        <v>0</v>
      </c>
      <c r="V3" s="10">
        <v>0</v>
      </c>
      <c r="W3" s="10">
        <v>3</v>
      </c>
      <c r="X3" s="10">
        <v>1</v>
      </c>
      <c r="Y3" s="10">
        <v>0</v>
      </c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4">
        <f t="shared" ref="AL3:AW3" si="0">B3+N3+Z3</f>
        <v>0</v>
      </c>
      <c r="AM3" s="14">
        <f t="shared" si="0"/>
        <v>0</v>
      </c>
      <c r="AN3" s="14">
        <f t="shared" si="0"/>
        <v>10</v>
      </c>
      <c r="AO3" s="14">
        <f t="shared" si="0"/>
        <v>4</v>
      </c>
      <c r="AP3" s="14">
        <f t="shared" si="0"/>
        <v>2</v>
      </c>
      <c r="AQ3" s="14">
        <f t="shared" si="0"/>
        <v>4</v>
      </c>
      <c r="AR3" s="14">
        <f t="shared" si="0"/>
        <v>0</v>
      </c>
      <c r="AS3" s="14">
        <f t="shared" si="0"/>
        <v>0</v>
      </c>
      <c r="AT3" s="14">
        <f t="shared" si="0"/>
        <v>0</v>
      </c>
      <c r="AU3" s="14">
        <f t="shared" si="0"/>
        <v>6</v>
      </c>
      <c r="AV3" s="14">
        <f t="shared" si="0"/>
        <v>2</v>
      </c>
      <c r="AW3" s="14">
        <f t="shared" si="0"/>
        <v>0</v>
      </c>
      <c r="AX3" s="14">
        <f>SUM(AL3:AW3)</f>
        <v>28</v>
      </c>
    </row>
    <row r="4" spans="1:51" x14ac:dyDescent="0.25">
      <c r="A4" t="s">
        <v>22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4">
        <f t="shared" ref="AL4:AW18" si="1">B4+N4+Z4</f>
        <v>0</v>
      </c>
      <c r="AM4" s="14">
        <f t="shared" si="1"/>
        <v>0</v>
      </c>
      <c r="AN4" s="14">
        <f t="shared" si="1"/>
        <v>0</v>
      </c>
      <c r="AO4" s="14">
        <f t="shared" si="1"/>
        <v>0</v>
      </c>
      <c r="AP4" s="14">
        <f t="shared" si="1"/>
        <v>0</v>
      </c>
      <c r="AQ4" s="14">
        <f t="shared" si="1"/>
        <v>0</v>
      </c>
      <c r="AR4" s="14">
        <f t="shared" si="1"/>
        <v>0</v>
      </c>
      <c r="AS4" s="14">
        <f t="shared" si="1"/>
        <v>0</v>
      </c>
      <c r="AT4" s="14">
        <f t="shared" si="1"/>
        <v>0</v>
      </c>
      <c r="AU4" s="14">
        <f t="shared" si="1"/>
        <v>0</v>
      </c>
      <c r="AV4" s="14">
        <f t="shared" si="1"/>
        <v>0</v>
      </c>
      <c r="AW4" s="14">
        <f t="shared" si="1"/>
        <v>0</v>
      </c>
      <c r="AX4" s="14">
        <f t="shared" ref="AX4:AX18" si="2">SUM(AL4:AW4)</f>
        <v>0</v>
      </c>
    </row>
    <row r="5" spans="1:51" x14ac:dyDescent="0.25">
      <c r="A5" t="s">
        <v>23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4">
        <f t="shared" si="1"/>
        <v>0</v>
      </c>
      <c r="AM5" s="14">
        <f t="shared" si="1"/>
        <v>0</v>
      </c>
      <c r="AN5" s="14">
        <f t="shared" si="1"/>
        <v>0</v>
      </c>
      <c r="AO5" s="14">
        <f t="shared" si="1"/>
        <v>0</v>
      </c>
      <c r="AP5" s="14">
        <f t="shared" si="1"/>
        <v>0</v>
      </c>
      <c r="AQ5" s="14">
        <f t="shared" si="1"/>
        <v>0</v>
      </c>
      <c r="AR5" s="14">
        <f t="shared" si="1"/>
        <v>0</v>
      </c>
      <c r="AS5" s="14">
        <f t="shared" si="1"/>
        <v>0</v>
      </c>
      <c r="AT5" s="14">
        <f t="shared" si="1"/>
        <v>0</v>
      </c>
      <c r="AU5" s="14">
        <f t="shared" si="1"/>
        <v>0</v>
      </c>
      <c r="AV5" s="14">
        <f t="shared" si="1"/>
        <v>0</v>
      </c>
      <c r="AW5" s="14">
        <f t="shared" si="1"/>
        <v>0</v>
      </c>
      <c r="AX5" s="14">
        <f t="shared" si="2"/>
        <v>0</v>
      </c>
    </row>
    <row r="6" spans="1:51" x14ac:dyDescent="0.25">
      <c r="A6" t="s">
        <v>59</v>
      </c>
      <c r="B6" s="10">
        <v>0</v>
      </c>
      <c r="C6" s="10">
        <v>0</v>
      </c>
      <c r="D6" s="10">
        <v>1</v>
      </c>
      <c r="E6" s="10">
        <v>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1</v>
      </c>
      <c r="Q6" s="10">
        <v>1</v>
      </c>
      <c r="R6" s="10">
        <v>1</v>
      </c>
      <c r="S6" s="10">
        <v>0</v>
      </c>
      <c r="T6" s="10">
        <v>0</v>
      </c>
      <c r="U6" s="10">
        <v>0</v>
      </c>
      <c r="V6" s="10">
        <v>0</v>
      </c>
      <c r="W6" s="10">
        <v>1</v>
      </c>
      <c r="X6" s="10">
        <v>0</v>
      </c>
      <c r="Y6" s="10">
        <v>0</v>
      </c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4">
        <f t="shared" si="1"/>
        <v>0</v>
      </c>
      <c r="AM6" s="14">
        <f t="shared" si="1"/>
        <v>0</v>
      </c>
      <c r="AN6" s="14">
        <f t="shared" si="1"/>
        <v>2</v>
      </c>
      <c r="AO6" s="14">
        <f t="shared" si="1"/>
        <v>2</v>
      </c>
      <c r="AP6" s="14">
        <f t="shared" si="1"/>
        <v>2</v>
      </c>
      <c r="AQ6" s="14">
        <f t="shared" si="1"/>
        <v>0</v>
      </c>
      <c r="AR6" s="14">
        <f t="shared" si="1"/>
        <v>0</v>
      </c>
      <c r="AS6" s="14">
        <f t="shared" si="1"/>
        <v>0</v>
      </c>
      <c r="AT6" s="14">
        <f t="shared" si="1"/>
        <v>0</v>
      </c>
      <c r="AU6" s="14">
        <f t="shared" si="1"/>
        <v>2</v>
      </c>
      <c r="AV6" s="14">
        <f t="shared" si="1"/>
        <v>0</v>
      </c>
      <c r="AW6" s="14">
        <f t="shared" si="1"/>
        <v>0</v>
      </c>
      <c r="AX6" s="14">
        <f t="shared" si="2"/>
        <v>8</v>
      </c>
    </row>
    <row r="7" spans="1:51" x14ac:dyDescent="0.25">
      <c r="A7" t="s">
        <v>30</v>
      </c>
      <c r="B7" s="10">
        <v>0</v>
      </c>
      <c r="C7" s="10">
        <v>0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1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  <c r="X7" s="10">
        <v>0</v>
      </c>
      <c r="Y7" s="10">
        <v>0</v>
      </c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4">
        <f t="shared" si="1"/>
        <v>0</v>
      </c>
      <c r="AM7" s="14">
        <f t="shared" si="1"/>
        <v>0</v>
      </c>
      <c r="AN7" s="14">
        <f t="shared" si="1"/>
        <v>2</v>
      </c>
      <c r="AO7" s="14">
        <f t="shared" si="1"/>
        <v>0</v>
      </c>
      <c r="AP7" s="14">
        <f t="shared" si="1"/>
        <v>0</v>
      </c>
      <c r="AQ7" s="14">
        <f t="shared" si="1"/>
        <v>0</v>
      </c>
      <c r="AR7" s="14">
        <f t="shared" si="1"/>
        <v>0</v>
      </c>
      <c r="AS7" s="14">
        <f t="shared" si="1"/>
        <v>0</v>
      </c>
      <c r="AT7" s="14">
        <f t="shared" si="1"/>
        <v>0</v>
      </c>
      <c r="AU7" s="14">
        <f t="shared" si="1"/>
        <v>0</v>
      </c>
      <c r="AV7" s="14">
        <f t="shared" si="1"/>
        <v>0</v>
      </c>
      <c r="AW7" s="14">
        <f t="shared" si="1"/>
        <v>0</v>
      </c>
      <c r="AX7" s="14">
        <f t="shared" si="2"/>
        <v>2</v>
      </c>
    </row>
    <row r="8" spans="1:51" x14ac:dyDescent="0.25">
      <c r="A8" t="s">
        <v>24</v>
      </c>
      <c r="B8" s="10">
        <v>0</v>
      </c>
      <c r="C8" s="10">
        <v>0</v>
      </c>
      <c r="D8" s="10">
        <v>2</v>
      </c>
      <c r="E8" s="10">
        <v>1</v>
      </c>
      <c r="F8" s="10">
        <v>0</v>
      </c>
      <c r="G8" s="10">
        <v>1</v>
      </c>
      <c r="H8" s="10">
        <v>0</v>
      </c>
      <c r="I8" s="10">
        <v>0</v>
      </c>
      <c r="J8" s="10">
        <v>0</v>
      </c>
      <c r="K8" s="10">
        <v>2</v>
      </c>
      <c r="L8" s="10">
        <v>1</v>
      </c>
      <c r="M8" s="10">
        <v>0</v>
      </c>
      <c r="N8" s="10">
        <v>0</v>
      </c>
      <c r="O8" s="10">
        <v>0</v>
      </c>
      <c r="P8" s="10">
        <v>2</v>
      </c>
      <c r="Q8" s="10">
        <v>1</v>
      </c>
      <c r="R8" s="10">
        <v>0</v>
      </c>
      <c r="S8" s="10">
        <v>1</v>
      </c>
      <c r="T8" s="10">
        <v>0</v>
      </c>
      <c r="U8" s="10">
        <v>0</v>
      </c>
      <c r="V8" s="10">
        <v>0</v>
      </c>
      <c r="W8" s="10">
        <v>2</v>
      </c>
      <c r="X8" s="10">
        <v>1</v>
      </c>
      <c r="Y8" s="10">
        <v>0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4">
        <f t="shared" si="1"/>
        <v>0</v>
      </c>
      <c r="AM8" s="14">
        <f t="shared" si="1"/>
        <v>0</v>
      </c>
      <c r="AN8" s="14">
        <f t="shared" si="1"/>
        <v>4</v>
      </c>
      <c r="AO8" s="14">
        <f t="shared" si="1"/>
        <v>2</v>
      </c>
      <c r="AP8" s="14">
        <f t="shared" si="1"/>
        <v>0</v>
      </c>
      <c r="AQ8" s="14">
        <f t="shared" si="1"/>
        <v>2</v>
      </c>
      <c r="AR8" s="14">
        <f t="shared" si="1"/>
        <v>0</v>
      </c>
      <c r="AS8" s="14">
        <f t="shared" si="1"/>
        <v>0</v>
      </c>
      <c r="AT8" s="14">
        <f t="shared" si="1"/>
        <v>0</v>
      </c>
      <c r="AU8" s="14">
        <f t="shared" si="1"/>
        <v>4</v>
      </c>
      <c r="AV8" s="14">
        <f t="shared" si="1"/>
        <v>2</v>
      </c>
      <c r="AW8" s="14">
        <f t="shared" si="1"/>
        <v>0</v>
      </c>
      <c r="AX8" s="14">
        <f t="shared" si="2"/>
        <v>14</v>
      </c>
    </row>
    <row r="9" spans="1:51" x14ac:dyDescent="0.25">
      <c r="A9" t="s">
        <v>25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4">
        <f t="shared" si="1"/>
        <v>0</v>
      </c>
      <c r="AM9" s="14">
        <f t="shared" si="1"/>
        <v>0</v>
      </c>
      <c r="AN9" s="14">
        <f t="shared" si="1"/>
        <v>0</v>
      </c>
      <c r="AO9" s="14">
        <f t="shared" si="1"/>
        <v>0</v>
      </c>
      <c r="AP9" s="14">
        <f t="shared" si="1"/>
        <v>0</v>
      </c>
      <c r="AQ9" s="14">
        <f t="shared" si="1"/>
        <v>0</v>
      </c>
      <c r="AR9" s="14">
        <f t="shared" si="1"/>
        <v>0</v>
      </c>
      <c r="AS9" s="14">
        <f t="shared" si="1"/>
        <v>0</v>
      </c>
      <c r="AT9" s="14">
        <f t="shared" si="1"/>
        <v>0</v>
      </c>
      <c r="AU9" s="14">
        <f t="shared" si="1"/>
        <v>0</v>
      </c>
      <c r="AV9" s="14">
        <f t="shared" si="1"/>
        <v>0</v>
      </c>
      <c r="AW9" s="14">
        <f t="shared" si="1"/>
        <v>0</v>
      </c>
      <c r="AX9" s="14">
        <f t="shared" si="2"/>
        <v>0</v>
      </c>
    </row>
    <row r="10" spans="1:51" x14ac:dyDescent="0.25">
      <c r="A10" t="s">
        <v>26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4">
        <f t="shared" si="1"/>
        <v>0</v>
      </c>
      <c r="AM10" s="14">
        <f t="shared" si="1"/>
        <v>0</v>
      </c>
      <c r="AN10" s="14">
        <f t="shared" si="1"/>
        <v>0</v>
      </c>
      <c r="AO10" s="14">
        <f t="shared" si="1"/>
        <v>0</v>
      </c>
      <c r="AP10" s="14">
        <f t="shared" si="1"/>
        <v>0</v>
      </c>
      <c r="AQ10" s="14">
        <f t="shared" si="1"/>
        <v>0</v>
      </c>
      <c r="AR10" s="14">
        <f t="shared" si="1"/>
        <v>0</v>
      </c>
      <c r="AS10" s="14">
        <f t="shared" si="1"/>
        <v>0</v>
      </c>
      <c r="AT10" s="14">
        <f t="shared" si="1"/>
        <v>0</v>
      </c>
      <c r="AU10" s="14">
        <f t="shared" si="1"/>
        <v>0</v>
      </c>
      <c r="AV10" s="14">
        <f t="shared" si="1"/>
        <v>0</v>
      </c>
      <c r="AW10" s="14">
        <f t="shared" si="1"/>
        <v>0</v>
      </c>
      <c r="AX10" s="14">
        <f t="shared" si="2"/>
        <v>0</v>
      </c>
    </row>
    <row r="11" spans="1:51" x14ac:dyDescent="0.25">
      <c r="A11" t="s">
        <v>27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4">
        <f t="shared" si="1"/>
        <v>0</v>
      </c>
      <c r="AM11" s="14">
        <f t="shared" si="1"/>
        <v>0</v>
      </c>
      <c r="AN11" s="14">
        <f t="shared" si="1"/>
        <v>0</v>
      </c>
      <c r="AO11" s="14">
        <f t="shared" si="1"/>
        <v>0</v>
      </c>
      <c r="AP11" s="14">
        <f t="shared" si="1"/>
        <v>0</v>
      </c>
      <c r="AQ11" s="14">
        <f t="shared" si="1"/>
        <v>0</v>
      </c>
      <c r="AR11" s="14">
        <f t="shared" si="1"/>
        <v>0</v>
      </c>
      <c r="AS11" s="14">
        <f t="shared" si="1"/>
        <v>0</v>
      </c>
      <c r="AT11" s="14">
        <f t="shared" si="1"/>
        <v>0</v>
      </c>
      <c r="AU11" s="14">
        <f t="shared" si="1"/>
        <v>0</v>
      </c>
      <c r="AV11" s="14">
        <f t="shared" si="1"/>
        <v>0</v>
      </c>
      <c r="AW11" s="14">
        <f t="shared" si="1"/>
        <v>0</v>
      </c>
      <c r="AX11" s="14">
        <f t="shared" si="2"/>
        <v>0</v>
      </c>
    </row>
    <row r="12" spans="1:51" x14ac:dyDescent="0.25">
      <c r="A12" t="s">
        <v>31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4">
        <f t="shared" si="1"/>
        <v>0</v>
      </c>
      <c r="AM12" s="14">
        <f t="shared" si="1"/>
        <v>0</v>
      </c>
      <c r="AN12" s="14">
        <f t="shared" si="1"/>
        <v>0</v>
      </c>
      <c r="AO12" s="14">
        <f t="shared" si="1"/>
        <v>0</v>
      </c>
      <c r="AP12" s="14">
        <f t="shared" si="1"/>
        <v>0</v>
      </c>
      <c r="AQ12" s="14">
        <f t="shared" si="1"/>
        <v>0</v>
      </c>
      <c r="AR12" s="14">
        <f t="shared" si="1"/>
        <v>0</v>
      </c>
      <c r="AS12" s="14">
        <f t="shared" si="1"/>
        <v>0</v>
      </c>
      <c r="AT12" s="14">
        <f t="shared" si="1"/>
        <v>0</v>
      </c>
      <c r="AU12" s="14">
        <f t="shared" si="1"/>
        <v>0</v>
      </c>
      <c r="AV12" s="14">
        <f t="shared" si="1"/>
        <v>0</v>
      </c>
      <c r="AW12" s="14">
        <f t="shared" si="1"/>
        <v>0</v>
      </c>
      <c r="AX12" s="14">
        <f t="shared" si="2"/>
        <v>0</v>
      </c>
    </row>
    <row r="13" spans="1:51" x14ac:dyDescent="0.25">
      <c r="A13" t="s">
        <v>32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4">
        <f t="shared" si="1"/>
        <v>0</v>
      </c>
      <c r="AM13" s="14">
        <f t="shared" si="1"/>
        <v>0</v>
      </c>
      <c r="AN13" s="14">
        <f t="shared" si="1"/>
        <v>0</v>
      </c>
      <c r="AO13" s="14">
        <f t="shared" si="1"/>
        <v>0</v>
      </c>
      <c r="AP13" s="14">
        <f t="shared" si="1"/>
        <v>0</v>
      </c>
      <c r="AQ13" s="14">
        <f t="shared" si="1"/>
        <v>0</v>
      </c>
      <c r="AR13" s="14">
        <f t="shared" si="1"/>
        <v>0</v>
      </c>
      <c r="AS13" s="14">
        <f t="shared" si="1"/>
        <v>0</v>
      </c>
      <c r="AT13" s="14">
        <f t="shared" si="1"/>
        <v>0</v>
      </c>
      <c r="AU13" s="14">
        <f t="shared" si="1"/>
        <v>0</v>
      </c>
      <c r="AV13" s="14">
        <f t="shared" si="1"/>
        <v>0</v>
      </c>
      <c r="AW13" s="14">
        <f t="shared" si="1"/>
        <v>0</v>
      </c>
      <c r="AX13" s="14">
        <f t="shared" si="2"/>
        <v>0</v>
      </c>
    </row>
    <row r="14" spans="1:51" x14ac:dyDescent="0.25">
      <c r="A14" t="s">
        <v>28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4">
        <f t="shared" si="1"/>
        <v>0</v>
      </c>
      <c r="AM14" s="14">
        <f t="shared" si="1"/>
        <v>0</v>
      </c>
      <c r="AN14" s="14">
        <f t="shared" si="1"/>
        <v>0</v>
      </c>
      <c r="AO14" s="14">
        <f t="shared" si="1"/>
        <v>0</v>
      </c>
      <c r="AP14" s="14">
        <f t="shared" si="1"/>
        <v>0</v>
      </c>
      <c r="AQ14" s="14">
        <f t="shared" si="1"/>
        <v>0</v>
      </c>
      <c r="AR14" s="14">
        <f t="shared" si="1"/>
        <v>0</v>
      </c>
      <c r="AS14" s="14">
        <f t="shared" si="1"/>
        <v>0</v>
      </c>
      <c r="AT14" s="14">
        <f t="shared" si="1"/>
        <v>0</v>
      </c>
      <c r="AU14" s="14">
        <f t="shared" si="1"/>
        <v>0</v>
      </c>
      <c r="AV14" s="14">
        <f t="shared" si="1"/>
        <v>0</v>
      </c>
      <c r="AW14" s="14">
        <f t="shared" si="1"/>
        <v>0</v>
      </c>
      <c r="AX14" s="14">
        <f t="shared" si="2"/>
        <v>0</v>
      </c>
    </row>
    <row r="15" spans="1:51" x14ac:dyDescent="0.25">
      <c r="A15" t="s">
        <v>29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4">
        <f t="shared" si="1"/>
        <v>0</v>
      </c>
      <c r="AM15" s="14">
        <f t="shared" si="1"/>
        <v>0</v>
      </c>
      <c r="AN15" s="14">
        <f t="shared" si="1"/>
        <v>0</v>
      </c>
      <c r="AO15" s="14">
        <f t="shared" si="1"/>
        <v>0</v>
      </c>
      <c r="AP15" s="14">
        <f t="shared" si="1"/>
        <v>0</v>
      </c>
      <c r="AQ15" s="14">
        <f t="shared" si="1"/>
        <v>0</v>
      </c>
      <c r="AR15" s="14">
        <f t="shared" si="1"/>
        <v>0</v>
      </c>
      <c r="AS15" s="14">
        <f t="shared" si="1"/>
        <v>0</v>
      </c>
      <c r="AT15" s="14">
        <f t="shared" si="1"/>
        <v>0</v>
      </c>
      <c r="AU15" s="14">
        <f t="shared" si="1"/>
        <v>0</v>
      </c>
      <c r="AV15" s="14">
        <f t="shared" si="1"/>
        <v>0</v>
      </c>
      <c r="AW15" s="14">
        <f t="shared" si="1"/>
        <v>0</v>
      </c>
      <c r="AX15" s="14">
        <f t="shared" si="2"/>
        <v>0</v>
      </c>
    </row>
    <row r="16" spans="1:51" x14ac:dyDescent="0.25">
      <c r="A16" t="s">
        <v>33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4">
        <f t="shared" si="1"/>
        <v>0</v>
      </c>
      <c r="AM16" s="14">
        <f t="shared" si="1"/>
        <v>0</v>
      </c>
      <c r="AN16" s="14">
        <f t="shared" si="1"/>
        <v>0</v>
      </c>
      <c r="AO16" s="14">
        <f t="shared" si="1"/>
        <v>0</v>
      </c>
      <c r="AP16" s="14">
        <f t="shared" si="1"/>
        <v>0</v>
      </c>
      <c r="AQ16" s="14">
        <f t="shared" si="1"/>
        <v>0</v>
      </c>
      <c r="AR16" s="14">
        <f t="shared" si="1"/>
        <v>0</v>
      </c>
      <c r="AS16" s="14">
        <f t="shared" si="1"/>
        <v>0</v>
      </c>
      <c r="AT16" s="14">
        <f t="shared" si="1"/>
        <v>0</v>
      </c>
      <c r="AU16" s="14">
        <f t="shared" si="1"/>
        <v>0</v>
      </c>
      <c r="AV16" s="14">
        <f t="shared" si="1"/>
        <v>0</v>
      </c>
      <c r="AW16" s="14">
        <f t="shared" si="1"/>
        <v>0</v>
      </c>
      <c r="AX16" s="14">
        <f t="shared" si="2"/>
        <v>0</v>
      </c>
    </row>
    <row r="17" spans="1:50" x14ac:dyDescent="0.25">
      <c r="A17" t="s">
        <v>34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4">
        <f t="shared" si="1"/>
        <v>0</v>
      </c>
      <c r="AM17" s="14">
        <f t="shared" si="1"/>
        <v>0</v>
      </c>
      <c r="AN17" s="14">
        <f t="shared" si="1"/>
        <v>0</v>
      </c>
      <c r="AO17" s="14">
        <f t="shared" si="1"/>
        <v>0</v>
      </c>
      <c r="AP17" s="14">
        <f t="shared" si="1"/>
        <v>0</v>
      </c>
      <c r="AQ17" s="14">
        <f t="shared" si="1"/>
        <v>0</v>
      </c>
      <c r="AR17" s="14">
        <f t="shared" si="1"/>
        <v>0</v>
      </c>
      <c r="AS17" s="14">
        <f t="shared" si="1"/>
        <v>0</v>
      </c>
      <c r="AT17" s="14">
        <f t="shared" si="1"/>
        <v>0</v>
      </c>
      <c r="AU17" s="14">
        <f t="shared" si="1"/>
        <v>0</v>
      </c>
      <c r="AV17" s="14">
        <f t="shared" si="1"/>
        <v>0</v>
      </c>
      <c r="AW17" s="14">
        <f t="shared" si="1"/>
        <v>0</v>
      </c>
      <c r="AX17" s="14">
        <f t="shared" si="2"/>
        <v>0</v>
      </c>
    </row>
    <row r="18" spans="1:50" x14ac:dyDescent="0.25">
      <c r="A18" s="12" t="s">
        <v>17</v>
      </c>
      <c r="B18" s="10">
        <v>0</v>
      </c>
      <c r="C18" s="10">
        <v>0</v>
      </c>
      <c r="D18" s="10">
        <v>9</v>
      </c>
      <c r="E18" s="10">
        <v>4</v>
      </c>
      <c r="F18" s="10">
        <v>2</v>
      </c>
      <c r="G18" s="10">
        <v>3</v>
      </c>
      <c r="H18" s="10">
        <v>0</v>
      </c>
      <c r="I18" s="10">
        <v>0</v>
      </c>
      <c r="J18" s="10">
        <v>0</v>
      </c>
      <c r="K18" s="10">
        <v>6</v>
      </c>
      <c r="L18" s="10">
        <v>2</v>
      </c>
      <c r="M18" s="10">
        <v>0</v>
      </c>
      <c r="N18" s="10">
        <v>0</v>
      </c>
      <c r="O18" s="10">
        <v>0</v>
      </c>
      <c r="P18" s="10">
        <v>9</v>
      </c>
      <c r="Q18" s="10">
        <v>4</v>
      </c>
      <c r="R18" s="10">
        <v>2</v>
      </c>
      <c r="S18" s="10">
        <v>3</v>
      </c>
      <c r="T18" s="10">
        <v>0</v>
      </c>
      <c r="U18" s="10">
        <v>0</v>
      </c>
      <c r="V18" s="10">
        <v>0</v>
      </c>
      <c r="W18" s="10">
        <v>6</v>
      </c>
      <c r="X18" s="10">
        <v>2</v>
      </c>
      <c r="Y18" s="10">
        <v>0</v>
      </c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4">
        <f t="shared" si="1"/>
        <v>0</v>
      </c>
      <c r="AM18" s="14">
        <f t="shared" si="1"/>
        <v>0</v>
      </c>
      <c r="AN18" s="14">
        <f t="shared" si="1"/>
        <v>18</v>
      </c>
      <c r="AO18" s="14">
        <f t="shared" si="1"/>
        <v>8</v>
      </c>
      <c r="AP18" s="14">
        <f t="shared" si="1"/>
        <v>4</v>
      </c>
      <c r="AQ18" s="14">
        <f t="shared" si="1"/>
        <v>6</v>
      </c>
      <c r="AR18" s="14">
        <f t="shared" si="1"/>
        <v>0</v>
      </c>
      <c r="AS18" s="14">
        <f t="shared" si="1"/>
        <v>0</v>
      </c>
      <c r="AT18" s="14">
        <f t="shared" si="1"/>
        <v>0</v>
      </c>
      <c r="AU18" s="14">
        <f t="shared" si="1"/>
        <v>12</v>
      </c>
      <c r="AV18" s="14">
        <f t="shared" si="1"/>
        <v>4</v>
      </c>
      <c r="AW18" s="14">
        <f t="shared" si="1"/>
        <v>0</v>
      </c>
      <c r="AX18" s="14">
        <f t="shared" si="2"/>
        <v>52</v>
      </c>
    </row>
    <row r="19" spans="1:50" x14ac:dyDescent="0.25">
      <c r="AO19" s="13"/>
    </row>
  </sheetData>
  <mergeCells count="6">
    <mergeCell ref="AW1:AY1"/>
    <mergeCell ref="A1:A2"/>
    <mergeCell ref="B1:M1"/>
    <mergeCell ref="N1:Y1"/>
    <mergeCell ref="Z1:AJ1"/>
    <mergeCell ref="AL1:AV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1A340-C5E5-4D79-9EAF-3856B40920BB}">
  <sheetPr codeName="Planilha8"/>
  <dimension ref="A1:X19"/>
  <sheetViews>
    <sheetView zoomScaleNormal="100" workbookViewId="0">
      <selection activeCell="B15" sqref="B15"/>
    </sheetView>
  </sheetViews>
  <sheetFormatPr defaultRowHeight="15" x14ac:dyDescent="0.25"/>
  <cols>
    <col min="1" max="1" width="71.5703125" bestFit="1" customWidth="1"/>
    <col min="2" max="2" width="10.85546875" customWidth="1"/>
    <col min="3" max="3" width="6.140625" bestFit="1" customWidth="1"/>
    <col min="4" max="4" width="4" bestFit="1" customWidth="1"/>
    <col min="5" max="5" width="3" bestFit="1" customWidth="1"/>
    <col min="6" max="6" width="6.140625" bestFit="1" customWidth="1"/>
    <col min="7" max="7" width="4.28515625" bestFit="1" customWidth="1"/>
    <col min="8" max="8" width="5.5703125" bestFit="1" customWidth="1"/>
    <col min="9" max="9" width="4" customWidth="1"/>
    <col min="10" max="10" width="15.28515625" customWidth="1"/>
    <col min="11" max="11" width="4.28515625" customWidth="1"/>
    <col min="12" max="12" width="5.5703125" customWidth="1"/>
    <col min="13" max="13" width="4.140625" customWidth="1"/>
    <col min="14" max="14" width="5.28515625" customWidth="1"/>
    <col min="15" max="15" width="6.28515625" customWidth="1"/>
    <col min="16" max="16" width="5" customWidth="1"/>
    <col min="17" max="17" width="4.42578125" customWidth="1"/>
    <col min="18" max="18" width="6.140625" customWidth="1"/>
    <col min="19" max="19" width="3.85546875" customWidth="1"/>
    <col min="20" max="21" width="5.28515625" customWidth="1"/>
    <col min="22" max="22" width="6.7109375" customWidth="1"/>
  </cols>
  <sheetData>
    <row r="1" spans="1:24" x14ac:dyDescent="0.25">
      <c r="A1" s="21" t="s">
        <v>35</v>
      </c>
      <c r="B1" s="27" t="s">
        <v>62</v>
      </c>
      <c r="C1" s="26"/>
      <c r="D1" s="27" t="s">
        <v>61</v>
      </c>
      <c r="E1" s="26"/>
      <c r="F1" s="26"/>
      <c r="G1" s="26"/>
      <c r="H1" s="28"/>
      <c r="I1" s="27" t="s">
        <v>63</v>
      </c>
      <c r="J1" s="28"/>
      <c r="K1" s="23" t="s">
        <v>17</v>
      </c>
      <c r="L1" s="24"/>
      <c r="M1" s="24"/>
      <c r="N1" s="24"/>
      <c r="O1" s="24"/>
      <c r="P1" s="24"/>
      <c r="Q1" s="24"/>
      <c r="R1" s="24"/>
      <c r="S1" s="24"/>
      <c r="T1" s="24"/>
      <c r="U1" s="24"/>
      <c r="V1" s="26"/>
      <c r="W1" s="26"/>
      <c r="X1" s="26"/>
    </row>
    <row r="2" spans="1:24" x14ac:dyDescent="0.25">
      <c r="A2" s="22"/>
      <c r="B2" s="10" t="s">
        <v>39</v>
      </c>
      <c r="C2" s="10" t="s">
        <v>42</v>
      </c>
      <c r="D2" s="10" t="s">
        <v>39</v>
      </c>
      <c r="E2" s="10" t="s">
        <v>44</v>
      </c>
      <c r="F2" s="10" t="s">
        <v>42</v>
      </c>
      <c r="G2" s="10" t="s">
        <v>38</v>
      </c>
      <c r="H2" s="10" t="s">
        <v>37</v>
      </c>
      <c r="I2" s="10" t="s">
        <v>39</v>
      </c>
      <c r="J2" s="10" t="s">
        <v>37</v>
      </c>
      <c r="K2" s="15" t="s">
        <v>39</v>
      </c>
      <c r="L2" s="15" t="s">
        <v>40</v>
      </c>
      <c r="M2" s="15" t="s">
        <v>44</v>
      </c>
      <c r="N2" s="15" t="s">
        <v>20</v>
      </c>
      <c r="O2" s="15" t="s">
        <v>45</v>
      </c>
      <c r="P2" s="15" t="s">
        <v>42</v>
      </c>
      <c r="Q2" s="15" t="s">
        <v>43</v>
      </c>
      <c r="R2" s="15" t="s">
        <v>36</v>
      </c>
      <c r="S2" s="15" t="s">
        <v>46</v>
      </c>
      <c r="T2" s="15" t="s">
        <v>38</v>
      </c>
      <c r="U2" s="15" t="s">
        <v>41</v>
      </c>
      <c r="V2" s="15" t="s">
        <v>37</v>
      </c>
      <c r="W2" s="16" t="s">
        <v>17</v>
      </c>
    </row>
    <row r="3" spans="1:24" x14ac:dyDescent="0.25">
      <c r="A3" s="12" t="s">
        <v>17</v>
      </c>
      <c r="B3" s="10"/>
      <c r="C3" s="10"/>
      <c r="D3" s="10"/>
      <c r="E3" s="10"/>
      <c r="F3" s="10"/>
      <c r="G3" s="10"/>
      <c r="H3" s="10"/>
      <c r="I3" s="10"/>
      <c r="J3" s="10"/>
      <c r="K3" s="14">
        <f>B3+D3+I3</f>
        <v>0</v>
      </c>
      <c r="L3" s="14"/>
      <c r="M3" s="14">
        <f>E3</f>
        <v>0</v>
      </c>
      <c r="N3" s="14"/>
      <c r="O3" s="14"/>
      <c r="P3" s="14">
        <f>C3+F3</f>
        <v>0</v>
      </c>
      <c r="Q3" s="14"/>
      <c r="R3" s="14"/>
      <c r="S3" s="14"/>
      <c r="T3" s="14">
        <f>G3</f>
        <v>0</v>
      </c>
      <c r="U3" s="14"/>
      <c r="V3" s="14">
        <f>H3+J3</f>
        <v>0</v>
      </c>
      <c r="W3" s="14">
        <f>SUM(K3:V3)</f>
        <v>0</v>
      </c>
    </row>
    <row r="4" spans="1:24" x14ac:dyDescent="0.25">
      <c r="A4" t="s">
        <v>21</v>
      </c>
      <c r="B4" s="10"/>
      <c r="C4" s="10"/>
      <c r="D4" s="10"/>
      <c r="E4" s="10"/>
      <c r="F4" s="10"/>
      <c r="G4" s="10"/>
      <c r="H4" s="10"/>
      <c r="I4" s="10"/>
      <c r="J4" s="10"/>
      <c r="K4" s="14">
        <f t="shared" ref="K4:K18" si="0">B4+D4+I4</f>
        <v>0</v>
      </c>
      <c r="L4" s="14"/>
      <c r="M4" s="14">
        <f t="shared" ref="M4:M18" si="1">E4</f>
        <v>0</v>
      </c>
      <c r="N4" s="14"/>
      <c r="O4" s="14"/>
      <c r="P4" s="14">
        <f t="shared" ref="P4:P18" si="2">C4+F4</f>
        <v>0</v>
      </c>
      <c r="Q4" s="14"/>
      <c r="R4" s="14"/>
      <c r="S4" s="14"/>
      <c r="T4" s="14">
        <f t="shared" ref="T4:T18" si="3">G4</f>
        <v>0</v>
      </c>
      <c r="U4" s="14"/>
      <c r="V4" s="14">
        <f t="shared" ref="V4:V18" si="4">H4+J4</f>
        <v>0</v>
      </c>
      <c r="W4" s="14">
        <f t="shared" ref="W4:W18" si="5">SUM(K4:V4)</f>
        <v>0</v>
      </c>
    </row>
    <row r="5" spans="1:24" x14ac:dyDescent="0.25">
      <c r="A5" t="s">
        <v>22</v>
      </c>
      <c r="B5" s="10"/>
      <c r="C5" s="10"/>
      <c r="D5" s="10"/>
      <c r="E5" s="10"/>
      <c r="F5" s="10"/>
      <c r="G5" s="10"/>
      <c r="H5" s="10"/>
      <c r="I5" s="10"/>
      <c r="J5" s="10"/>
      <c r="K5" s="14">
        <f t="shared" si="0"/>
        <v>0</v>
      </c>
      <c r="L5" s="14"/>
      <c r="M5" s="14">
        <f t="shared" si="1"/>
        <v>0</v>
      </c>
      <c r="N5" s="14"/>
      <c r="O5" s="14"/>
      <c r="P5" s="14">
        <f t="shared" si="2"/>
        <v>0</v>
      </c>
      <c r="Q5" s="14"/>
      <c r="R5" s="14"/>
      <c r="S5" s="14"/>
      <c r="T5" s="14">
        <f t="shared" si="3"/>
        <v>0</v>
      </c>
      <c r="U5" s="14"/>
      <c r="V5" s="14">
        <f t="shared" si="4"/>
        <v>0</v>
      </c>
      <c r="W5" s="14">
        <f t="shared" si="5"/>
        <v>0</v>
      </c>
    </row>
    <row r="6" spans="1:24" x14ac:dyDescent="0.25">
      <c r="A6" t="s">
        <v>23</v>
      </c>
      <c r="B6" s="10"/>
      <c r="C6" s="10"/>
      <c r="D6" s="10"/>
      <c r="E6" s="10"/>
      <c r="F6" s="10"/>
      <c r="G6" s="10"/>
      <c r="H6" s="10"/>
      <c r="I6" s="10"/>
      <c r="J6" s="10"/>
      <c r="K6" s="14">
        <f t="shared" si="0"/>
        <v>0</v>
      </c>
      <c r="L6" s="14"/>
      <c r="M6" s="14">
        <f t="shared" si="1"/>
        <v>0</v>
      </c>
      <c r="N6" s="14"/>
      <c r="O6" s="14"/>
      <c r="P6" s="14">
        <f t="shared" si="2"/>
        <v>0</v>
      </c>
      <c r="Q6" s="14"/>
      <c r="R6" s="14"/>
      <c r="S6" s="14"/>
      <c r="T6" s="14">
        <f t="shared" si="3"/>
        <v>0</v>
      </c>
      <c r="U6" s="14"/>
      <c r="V6" s="14">
        <f t="shared" si="4"/>
        <v>0</v>
      </c>
      <c r="W6" s="14">
        <f t="shared" si="5"/>
        <v>0</v>
      </c>
    </row>
    <row r="7" spans="1:24" x14ac:dyDescent="0.25">
      <c r="A7" t="s">
        <v>59</v>
      </c>
      <c r="B7" s="10"/>
      <c r="C7" s="10"/>
      <c r="D7" s="10"/>
      <c r="E7" s="10"/>
      <c r="F7" s="10"/>
      <c r="G7" s="10"/>
      <c r="H7" s="10"/>
      <c r="I7" s="10"/>
      <c r="J7" s="10"/>
      <c r="K7" s="14">
        <f t="shared" si="0"/>
        <v>0</v>
      </c>
      <c r="L7" s="14"/>
      <c r="M7" s="14">
        <f t="shared" si="1"/>
        <v>0</v>
      </c>
      <c r="N7" s="14"/>
      <c r="O7" s="14"/>
      <c r="P7" s="14">
        <f t="shared" si="2"/>
        <v>0</v>
      </c>
      <c r="Q7" s="14"/>
      <c r="R7" s="14"/>
      <c r="S7" s="14"/>
      <c r="T7" s="14">
        <f t="shared" si="3"/>
        <v>0</v>
      </c>
      <c r="U7" s="14"/>
      <c r="V7" s="14">
        <f t="shared" si="4"/>
        <v>0</v>
      </c>
      <c r="W7" s="14">
        <f t="shared" si="5"/>
        <v>0</v>
      </c>
    </row>
    <row r="8" spans="1:24" x14ac:dyDescent="0.25">
      <c r="A8" t="s">
        <v>30</v>
      </c>
      <c r="B8" s="10"/>
      <c r="C8" s="10"/>
      <c r="D8" s="10"/>
      <c r="E8" s="10"/>
      <c r="F8" s="10"/>
      <c r="G8" s="10"/>
      <c r="H8" s="10"/>
      <c r="I8" s="10"/>
      <c r="J8" s="10"/>
      <c r="K8" s="14">
        <f t="shared" si="0"/>
        <v>0</v>
      </c>
      <c r="L8" s="14"/>
      <c r="M8" s="14">
        <f t="shared" si="1"/>
        <v>0</v>
      </c>
      <c r="N8" s="14"/>
      <c r="O8" s="14"/>
      <c r="P8" s="14">
        <f t="shared" si="2"/>
        <v>0</v>
      </c>
      <c r="Q8" s="14"/>
      <c r="R8" s="14"/>
      <c r="S8" s="14"/>
      <c r="T8" s="14">
        <f t="shared" si="3"/>
        <v>0</v>
      </c>
      <c r="U8" s="14"/>
      <c r="V8" s="14">
        <f t="shared" si="4"/>
        <v>0</v>
      </c>
      <c r="W8" s="14">
        <f t="shared" si="5"/>
        <v>0</v>
      </c>
    </row>
    <row r="9" spans="1:24" x14ac:dyDescent="0.25">
      <c r="A9" t="s">
        <v>24</v>
      </c>
      <c r="B9" s="10"/>
      <c r="C9" s="10"/>
      <c r="D9" s="10"/>
      <c r="E9" s="10"/>
      <c r="F9" s="10"/>
      <c r="G9" s="10"/>
      <c r="H9" s="10"/>
      <c r="I9" s="10"/>
      <c r="J9" s="10"/>
      <c r="K9" s="14">
        <f t="shared" si="0"/>
        <v>0</v>
      </c>
      <c r="L9" s="14"/>
      <c r="M9" s="14">
        <f t="shared" si="1"/>
        <v>0</v>
      </c>
      <c r="N9" s="14"/>
      <c r="O9" s="14"/>
      <c r="P9" s="14">
        <f t="shared" si="2"/>
        <v>0</v>
      </c>
      <c r="Q9" s="14"/>
      <c r="R9" s="14"/>
      <c r="S9" s="14"/>
      <c r="T9" s="14">
        <f t="shared" si="3"/>
        <v>0</v>
      </c>
      <c r="U9" s="14"/>
      <c r="V9" s="14">
        <f t="shared" si="4"/>
        <v>0</v>
      </c>
      <c r="W9" s="14">
        <f t="shared" si="5"/>
        <v>0</v>
      </c>
    </row>
    <row r="10" spans="1:24" x14ac:dyDescent="0.25">
      <c r="A10" t="s">
        <v>25</v>
      </c>
      <c r="B10" s="10"/>
      <c r="C10" s="10"/>
      <c r="D10" s="10"/>
      <c r="E10" s="10"/>
      <c r="F10" s="10"/>
      <c r="G10" s="10"/>
      <c r="H10" s="10"/>
      <c r="I10" s="10"/>
      <c r="J10" s="10"/>
      <c r="K10" s="14">
        <f t="shared" si="0"/>
        <v>0</v>
      </c>
      <c r="L10" s="14"/>
      <c r="M10" s="14">
        <f t="shared" si="1"/>
        <v>0</v>
      </c>
      <c r="N10" s="14"/>
      <c r="O10" s="14"/>
      <c r="P10" s="14">
        <f t="shared" si="2"/>
        <v>0</v>
      </c>
      <c r="Q10" s="14"/>
      <c r="R10" s="14"/>
      <c r="S10" s="14"/>
      <c r="T10" s="14">
        <f t="shared" si="3"/>
        <v>0</v>
      </c>
      <c r="U10" s="14"/>
      <c r="V10" s="14">
        <f t="shared" si="4"/>
        <v>0</v>
      </c>
      <c r="W10" s="14">
        <f t="shared" si="5"/>
        <v>0</v>
      </c>
    </row>
    <row r="11" spans="1:24" x14ac:dyDescent="0.25">
      <c r="A11" t="s">
        <v>26</v>
      </c>
      <c r="B11" s="10"/>
      <c r="C11" s="10"/>
      <c r="D11" s="10"/>
      <c r="E11" s="10"/>
      <c r="F11" s="10"/>
      <c r="G11" s="10"/>
      <c r="H11" s="10"/>
      <c r="I11" s="10"/>
      <c r="J11" s="10"/>
      <c r="K11" s="14">
        <f t="shared" si="0"/>
        <v>0</v>
      </c>
      <c r="L11" s="14"/>
      <c r="M11" s="14">
        <f t="shared" si="1"/>
        <v>0</v>
      </c>
      <c r="N11" s="14"/>
      <c r="O11" s="14"/>
      <c r="P11" s="14">
        <f t="shared" si="2"/>
        <v>0</v>
      </c>
      <c r="Q11" s="14"/>
      <c r="R11" s="14"/>
      <c r="S11" s="14"/>
      <c r="T11" s="14">
        <f t="shared" si="3"/>
        <v>0</v>
      </c>
      <c r="U11" s="14"/>
      <c r="V11" s="14">
        <f t="shared" si="4"/>
        <v>0</v>
      </c>
      <c r="W11" s="14">
        <f t="shared" si="5"/>
        <v>0</v>
      </c>
    </row>
    <row r="12" spans="1:24" x14ac:dyDescent="0.25">
      <c r="A12" t="s">
        <v>27</v>
      </c>
      <c r="B12" s="10"/>
      <c r="C12" s="10"/>
      <c r="D12" s="10"/>
      <c r="E12" s="10"/>
      <c r="F12" s="10"/>
      <c r="G12" s="10"/>
      <c r="H12" s="10"/>
      <c r="I12" s="10"/>
      <c r="J12" s="10"/>
      <c r="K12" s="14">
        <f t="shared" si="0"/>
        <v>0</v>
      </c>
      <c r="L12" s="14"/>
      <c r="M12" s="14">
        <f t="shared" si="1"/>
        <v>0</v>
      </c>
      <c r="N12" s="14"/>
      <c r="O12" s="14"/>
      <c r="P12" s="14">
        <f t="shared" si="2"/>
        <v>0</v>
      </c>
      <c r="Q12" s="14"/>
      <c r="R12" s="14"/>
      <c r="S12" s="14"/>
      <c r="T12" s="14">
        <f t="shared" si="3"/>
        <v>0</v>
      </c>
      <c r="U12" s="14"/>
      <c r="V12" s="14">
        <f t="shared" si="4"/>
        <v>0</v>
      </c>
      <c r="W12" s="14">
        <f t="shared" si="5"/>
        <v>0</v>
      </c>
    </row>
    <row r="13" spans="1:24" x14ac:dyDescent="0.25">
      <c r="A13" t="s">
        <v>31</v>
      </c>
      <c r="B13" s="10"/>
      <c r="C13" s="10"/>
      <c r="D13" s="10"/>
      <c r="E13" s="10"/>
      <c r="F13" s="10"/>
      <c r="G13" s="10"/>
      <c r="H13" s="10"/>
      <c r="I13" s="10"/>
      <c r="J13" s="10"/>
      <c r="K13" s="14">
        <f t="shared" si="0"/>
        <v>0</v>
      </c>
      <c r="L13" s="14"/>
      <c r="M13" s="14">
        <f t="shared" si="1"/>
        <v>0</v>
      </c>
      <c r="N13" s="14"/>
      <c r="O13" s="14"/>
      <c r="P13" s="14">
        <f t="shared" si="2"/>
        <v>0</v>
      </c>
      <c r="Q13" s="14"/>
      <c r="R13" s="14"/>
      <c r="S13" s="14"/>
      <c r="T13" s="14">
        <f t="shared" si="3"/>
        <v>0</v>
      </c>
      <c r="U13" s="14"/>
      <c r="V13" s="14">
        <f t="shared" si="4"/>
        <v>0</v>
      </c>
      <c r="W13" s="14">
        <f t="shared" si="5"/>
        <v>0</v>
      </c>
    </row>
    <row r="14" spans="1:24" x14ac:dyDescent="0.25">
      <c r="A14" t="s">
        <v>32</v>
      </c>
      <c r="B14" s="10"/>
      <c r="C14" s="10"/>
      <c r="D14" s="10"/>
      <c r="E14" s="10"/>
      <c r="F14" s="10"/>
      <c r="G14" s="10"/>
      <c r="H14" s="10"/>
      <c r="I14" s="10"/>
      <c r="J14" s="10"/>
      <c r="K14" s="14">
        <f t="shared" si="0"/>
        <v>0</v>
      </c>
      <c r="L14" s="14"/>
      <c r="M14" s="14">
        <f t="shared" si="1"/>
        <v>0</v>
      </c>
      <c r="N14" s="14"/>
      <c r="O14" s="14"/>
      <c r="P14" s="14">
        <f t="shared" si="2"/>
        <v>0</v>
      </c>
      <c r="Q14" s="14"/>
      <c r="R14" s="14"/>
      <c r="S14" s="14"/>
      <c r="T14" s="14">
        <f t="shared" si="3"/>
        <v>0</v>
      </c>
      <c r="U14" s="14"/>
      <c r="V14" s="14">
        <f t="shared" si="4"/>
        <v>0</v>
      </c>
      <c r="W14" s="14">
        <f t="shared" si="5"/>
        <v>0</v>
      </c>
    </row>
    <row r="15" spans="1:24" x14ac:dyDescent="0.25">
      <c r="A15" t="s">
        <v>28</v>
      </c>
      <c r="B15" s="10"/>
      <c r="C15" s="10"/>
      <c r="D15" s="10"/>
      <c r="E15" s="10"/>
      <c r="F15" s="10"/>
      <c r="G15" s="10"/>
      <c r="H15" s="10"/>
      <c r="I15" s="10"/>
      <c r="J15" s="10"/>
      <c r="K15" s="14">
        <f t="shared" si="0"/>
        <v>0</v>
      </c>
      <c r="L15" s="14"/>
      <c r="M15" s="14">
        <f t="shared" si="1"/>
        <v>0</v>
      </c>
      <c r="N15" s="14"/>
      <c r="O15" s="14"/>
      <c r="P15" s="14">
        <f t="shared" si="2"/>
        <v>0</v>
      </c>
      <c r="Q15" s="14"/>
      <c r="R15" s="14"/>
      <c r="S15" s="14"/>
      <c r="T15" s="14">
        <f t="shared" si="3"/>
        <v>0</v>
      </c>
      <c r="U15" s="14"/>
      <c r="V15" s="14">
        <f t="shared" si="4"/>
        <v>0</v>
      </c>
      <c r="W15" s="14">
        <f t="shared" si="5"/>
        <v>0</v>
      </c>
    </row>
    <row r="16" spans="1:24" x14ac:dyDescent="0.25">
      <c r="A16" t="s">
        <v>29</v>
      </c>
      <c r="B16" s="10"/>
      <c r="C16" s="10"/>
      <c r="D16" s="10"/>
      <c r="E16" s="10"/>
      <c r="F16" s="10"/>
      <c r="G16" s="10"/>
      <c r="H16" s="10"/>
      <c r="I16" s="10"/>
      <c r="J16" s="10"/>
      <c r="K16" s="14">
        <f t="shared" si="0"/>
        <v>0</v>
      </c>
      <c r="L16" s="14"/>
      <c r="M16" s="14">
        <f t="shared" si="1"/>
        <v>0</v>
      </c>
      <c r="N16" s="14"/>
      <c r="O16" s="14"/>
      <c r="P16" s="14">
        <f t="shared" si="2"/>
        <v>0</v>
      </c>
      <c r="Q16" s="14"/>
      <c r="R16" s="14"/>
      <c r="S16" s="14"/>
      <c r="T16" s="14">
        <f t="shared" si="3"/>
        <v>0</v>
      </c>
      <c r="U16" s="14"/>
      <c r="V16" s="14">
        <f t="shared" si="4"/>
        <v>0</v>
      </c>
      <c r="W16" s="14">
        <f t="shared" si="5"/>
        <v>0</v>
      </c>
    </row>
    <row r="17" spans="1:23" x14ac:dyDescent="0.25">
      <c r="A17" t="s">
        <v>33</v>
      </c>
      <c r="B17" s="10"/>
      <c r="C17" s="10"/>
      <c r="D17" s="10"/>
      <c r="E17" s="10"/>
      <c r="F17" s="10"/>
      <c r="G17" s="10"/>
      <c r="H17" s="10"/>
      <c r="I17" s="10"/>
      <c r="J17" s="10"/>
      <c r="K17" s="14">
        <f t="shared" si="0"/>
        <v>0</v>
      </c>
      <c r="L17" s="14"/>
      <c r="M17" s="14">
        <f t="shared" si="1"/>
        <v>0</v>
      </c>
      <c r="N17" s="14"/>
      <c r="O17" s="14"/>
      <c r="P17" s="14">
        <f t="shared" si="2"/>
        <v>0</v>
      </c>
      <c r="Q17" s="14"/>
      <c r="R17" s="14"/>
      <c r="S17" s="14"/>
      <c r="T17" s="14">
        <f t="shared" si="3"/>
        <v>0</v>
      </c>
      <c r="U17" s="14"/>
      <c r="V17" s="14">
        <f t="shared" si="4"/>
        <v>0</v>
      </c>
      <c r="W17" s="14">
        <f t="shared" si="5"/>
        <v>0</v>
      </c>
    </row>
    <row r="18" spans="1:23" x14ac:dyDescent="0.25">
      <c r="A18" t="s">
        <v>34</v>
      </c>
      <c r="B18" s="10"/>
      <c r="C18" s="10"/>
      <c r="D18" s="10"/>
      <c r="E18" s="10"/>
      <c r="F18" s="10"/>
      <c r="G18" s="10"/>
      <c r="H18" s="10"/>
      <c r="I18" s="10"/>
      <c r="J18" s="10"/>
      <c r="K18" s="14">
        <f t="shared" si="0"/>
        <v>0</v>
      </c>
      <c r="L18" s="14"/>
      <c r="M18" s="14">
        <f t="shared" si="1"/>
        <v>0</v>
      </c>
      <c r="N18" s="14"/>
      <c r="O18" s="14"/>
      <c r="P18" s="14">
        <f t="shared" si="2"/>
        <v>0</v>
      </c>
      <c r="Q18" s="14"/>
      <c r="R18" s="14"/>
      <c r="S18" s="14"/>
      <c r="T18" s="14">
        <f t="shared" si="3"/>
        <v>0</v>
      </c>
      <c r="U18" s="14"/>
      <c r="V18" s="14">
        <f t="shared" si="4"/>
        <v>0</v>
      </c>
      <c r="W18" s="14">
        <f t="shared" si="5"/>
        <v>0</v>
      </c>
    </row>
    <row r="19" spans="1:23" x14ac:dyDescent="0.25">
      <c r="W19" s="13"/>
    </row>
  </sheetData>
  <mergeCells count="6">
    <mergeCell ref="A1:A2"/>
    <mergeCell ref="K1:U1"/>
    <mergeCell ref="V1:X1"/>
    <mergeCell ref="D1:H1"/>
    <mergeCell ref="I1:J1"/>
    <mergeCell ref="B1:C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80FACE-221B-44B4-AEF5-60888A9DAB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Faltas</vt:lpstr>
      <vt:lpstr>Competencia</vt:lpstr>
      <vt:lpstr>2025</vt:lpstr>
      <vt:lpstr>2024</vt:lpstr>
      <vt:lpstr>Neomater</vt:lpstr>
      <vt:lpstr>Neotin</vt:lpstr>
      <vt:lpstr>ProntoBaby</vt:lpstr>
      <vt:lpstr>Seg vision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 Alves</dc:creator>
  <cp:lastModifiedBy>Davi Alves</cp:lastModifiedBy>
  <dcterms:created xsi:type="dcterms:W3CDTF">2015-06-05T18:19:34Z</dcterms:created>
  <dcterms:modified xsi:type="dcterms:W3CDTF">2026-01-06T19:06:32Z</dcterms:modified>
</cp:coreProperties>
</file>